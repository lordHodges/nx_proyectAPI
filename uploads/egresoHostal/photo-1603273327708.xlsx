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15.xml" ContentType="application/vnd.openxmlformats-officedocument.drawingml.chart+xml"/>
  <Override PartName="/xl/charts/chart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EMPLO" sheetId="1" state="visible" r:id="rId2"/>
    <sheet name="BALANCES" sheetId="2" state="visible" r:id="rId3"/>
    <sheet name="Sheet3" sheetId="3" state="visible" r:id="rId4"/>
  </sheets>
  <definedNames>
    <definedName function="false" hidden="false" localSheetId="1" name="_xlnm.Print_Area" vbProcedure="false">BALANCES!$A$1:$BX$15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<sst xmlns="http://schemas.openxmlformats.org/spreadsheetml/2006/main" count="1613" uniqueCount="541">
  <si>
    <t xml:space="preserve">SUCURSAL TALCA</t>
  </si>
  <si>
    <t xml:space="preserve">SUCURSAL LINARES</t>
  </si>
  <si>
    <t xml:space="preserve">SUCURSAL CURICO</t>
  </si>
  <si>
    <t xml:space="preserve">SUCURSAL SAN PEDRO </t>
  </si>
  <si>
    <t xml:space="preserve">SUCURSAL CALAMA</t>
  </si>
  <si>
    <t xml:space="preserve">SUCURSAL LOS ANGELES </t>
  </si>
  <si>
    <t xml:space="preserve">SUCURSAL CONCEPCION</t>
  </si>
  <si>
    <t xml:space="preserve">SUCURSAL RANCAGUA</t>
  </si>
  <si>
    <t xml:space="preserve">SUCURSAL SERVIU IQUIQUE</t>
  </si>
  <si>
    <t xml:space="preserve">SUCURSAL SANTIAGO (EL SALVADOR)</t>
  </si>
  <si>
    <t xml:space="preserve">CONAF</t>
  </si>
  <si>
    <t xml:space="preserve">SERVICIO DE SALUD </t>
  </si>
  <si>
    <t xml:space="preserve">INGRESO </t>
  </si>
  <si>
    <t xml:space="preserve">GASTOS</t>
  </si>
  <si>
    <t xml:space="preserve">GASTOS PERSONALES  BRAULIO</t>
  </si>
  <si>
    <t xml:space="preserve">INGRESOS Y GASTOS LINARES PRIVADO (PARTICULAR)</t>
  </si>
  <si>
    <t xml:space="preserve">INGRESOS Y GASTOS CURICO</t>
  </si>
  <si>
    <t xml:space="preserve">INGRESOS Y GASTOS SAN PEDRO</t>
  </si>
  <si>
    <t xml:space="preserve">INGRESOS Y GASTOS CALAMA </t>
  </si>
  <si>
    <t xml:space="preserve">INGRESOS Y GASTOS LOS ANGELES </t>
  </si>
  <si>
    <t xml:space="preserve">INGRESOS Y GASTOS </t>
  </si>
  <si>
    <t xml:space="preserve">INGRESOS Y GASTOS SANTIAGO</t>
  </si>
  <si>
    <t xml:space="preserve">INGRESOS Y GASTOS CONAF </t>
  </si>
  <si>
    <t xml:space="preserve">INGRESOS Y GASTOS SERVICIO DE SALUD </t>
  </si>
  <si>
    <t xml:space="preserve">Dia </t>
  </si>
  <si>
    <t xml:space="preserve">   Monto    </t>
  </si>
  <si>
    <t xml:space="preserve">CLIENTE </t>
  </si>
  <si>
    <t xml:space="preserve">PPU</t>
  </si>
  <si>
    <t xml:space="preserve">VEHÍCULO</t>
  </si>
  <si>
    <t xml:space="preserve">DIAS</t>
  </si>
  <si>
    <t xml:space="preserve">RAC - AUXILIA - EUROP - MOK</t>
  </si>
  <si>
    <t xml:space="preserve">DETALLE</t>
  </si>
  <si>
    <t xml:space="preserve">MONTO</t>
  </si>
  <si>
    <t xml:space="preserve">COMPRA/ VIAJES/ </t>
  </si>
  <si>
    <t xml:space="preserve">AUTO </t>
  </si>
  <si>
    <t xml:space="preserve">CARGADO A: </t>
  </si>
  <si>
    <t xml:space="preserve">FECHA </t>
  </si>
  <si>
    <t xml:space="preserve">MONTO </t>
  </si>
  <si>
    <t xml:space="preserve">INGRESO JUNIO</t>
  </si>
  <si>
    <t xml:space="preserve">GASTOS JUNIO (SUCURSAL LINARES)</t>
  </si>
  <si>
    <t xml:space="preserve">GASTOS JUNIO</t>
  </si>
  <si>
    <t xml:space="preserve">ARRIENDOS PERSONAS NATURALES</t>
  </si>
  <si>
    <t xml:space="preserve">GASTOS FIJOS</t>
  </si>
  <si>
    <t xml:space="preserve">GARGA DE GAS </t>
  </si>
  <si>
    <t xml:space="preserve">HRPK-51</t>
  </si>
  <si>
    <t xml:space="preserve">LUBRICENTRO Y RENTACAR</t>
  </si>
  <si>
    <t xml:space="preserve">DÍA</t>
  </si>
  <si>
    <t xml:space="preserve">JOSE LEIVA</t>
  </si>
  <si>
    <t xml:space="preserve">KVGZ-72</t>
  </si>
  <si>
    <t xml:space="preserve">PRISMA</t>
  </si>
  <si>
    <t xml:space="preserve">CUOTAS VEHICULOS</t>
  </si>
  <si>
    <t xml:space="preserve">PEAJE DE RIO CLARO X2</t>
  </si>
  <si>
    <t xml:space="preserve">EMPRESAS REEMPLAZO  </t>
  </si>
  <si>
    <t xml:space="preserve">PERSONAS</t>
  </si>
  <si>
    <t xml:space="preserve">LICITACIONES</t>
  </si>
  <si>
    <t xml:space="preserve">LICITACIONES </t>
  </si>
  <si>
    <t xml:space="preserve">GASTOS FIJOS REPARACIONES</t>
  </si>
  <si>
    <t xml:space="preserve">GASTOS FIJOS/ COMPRA</t>
  </si>
  <si>
    <t xml:space="preserve">LEONARDO LEFENDA</t>
  </si>
  <si>
    <t xml:space="preserve">JGCZ-56</t>
  </si>
  <si>
    <t xml:space="preserve">MITSUBISHI</t>
  </si>
  <si>
    <t xml:space="preserve">SSANGYONG</t>
  </si>
  <si>
    <t xml:space="preserve">QUINTA VIA </t>
  </si>
  <si>
    <t xml:space="preserve">ARRIENDO OFICINA </t>
  </si>
  <si>
    <t xml:space="preserve">MITSUBISHI LWHT-47</t>
  </si>
  <si>
    <t xml:space="preserve">PAGO 19º/36CUOTA KV.GZ-24</t>
  </si>
  <si>
    <t xml:space="preserve">CAMIONETA LZGT-15</t>
  </si>
  <si>
    <t xml:space="preserve">PAGO 13º/36 CUOTA LG.HW.38 </t>
  </si>
  <si>
    <t xml:space="preserve">PAGO 20º/36  CUOTA KT.CK-89</t>
  </si>
  <si>
    <t xml:space="preserve">PAGO 29º/36º CUOTA  JZCD-10</t>
  </si>
  <si>
    <t xml:space="preserve">CUOTA CREDITO PROYECTO ITAU VALOR CUOTA $1.728.538 5/37</t>
  </si>
  <si>
    <t xml:space="preserve">BAJA KM LYDW-17</t>
  </si>
  <si>
    <t xml:space="preserve">COMBUSTIBLE </t>
  </si>
  <si>
    <t xml:space="preserve">KVGZ-48</t>
  </si>
  <si>
    <t xml:space="preserve">PAGO 30º/36º CUOTA JZBZ-81</t>
  </si>
  <si>
    <t xml:space="preserve">PEAJE MAIPO0</t>
  </si>
  <si>
    <t xml:space="preserve">PAGO 17º/ CUOTA PRISMA KX.VW-99 MC </t>
  </si>
  <si>
    <t xml:space="preserve">SUB TOTAL</t>
  </si>
  <si>
    <t xml:space="preserve">MITSUBISHI LWHT-48</t>
  </si>
  <si>
    <t xml:space="preserve">SEGURO CAMIONETA </t>
  </si>
  <si>
    <t xml:space="preserve">TOTAL</t>
  </si>
  <si>
    <t xml:space="preserve">SEGURO AUTOMOTRIZ</t>
  </si>
  <si>
    <t xml:space="preserve">SEGURO AUTOMOTRIZ 9 AUTOS</t>
  </si>
  <si>
    <t xml:space="preserve">COMBUSTIBLE LINARES 1º CAMIONETA </t>
  </si>
  <si>
    <t xml:space="preserve">PAGO ESTACIONAMIENTO VAN CONSTITUCION</t>
  </si>
  <si>
    <t xml:space="preserve">FELIX HERNANDEZ</t>
  </si>
  <si>
    <t xml:space="preserve">LSVK-51</t>
  </si>
  <si>
    <t xml:space="preserve">VOYAGE</t>
  </si>
  <si>
    <t xml:space="preserve">TOTAL </t>
  </si>
  <si>
    <t xml:space="preserve">PAGO 19º/36  CUOTA FLOTA PRIMAS KV.GZ-48</t>
  </si>
  <si>
    <t xml:space="preserve">MITSUBISHI LWHT-49</t>
  </si>
  <si>
    <t xml:space="preserve">SUELDOS </t>
  </si>
  <si>
    <t xml:space="preserve">PAGO 31 º/36 CUOTA HWCF-18 </t>
  </si>
  <si>
    <t xml:space="preserve">OTROS</t>
  </si>
  <si>
    <t xml:space="preserve">4 NEUMATICOS NP</t>
  </si>
  <si>
    <t xml:space="preserve">SUELDOS</t>
  </si>
  <si>
    <t xml:space="preserve">PAOLO GALLARDO</t>
  </si>
  <si>
    <t xml:space="preserve">LSVK-49</t>
  </si>
  <si>
    <t xml:space="preserve">TALCA</t>
  </si>
  <si>
    <t xml:space="preserve">SUB TOTAL </t>
  </si>
  <si>
    <t xml:space="preserve">PAGO 15º/36º CUOTA VOLSKWAGEN VOYAGE LG.HZ-39</t>
  </si>
  <si>
    <t xml:space="preserve">MITSUBISHI LWHT-99</t>
  </si>
  <si>
    <t xml:space="preserve">COMBUSTIBLE</t>
  </si>
  <si>
    <t xml:space="preserve">COMBUSTIBLE   </t>
  </si>
  <si>
    <t xml:space="preserve">Combustible</t>
  </si>
  <si>
    <t xml:space="preserve">TRASLADO JZCD-10 IQUIQUE - SANTIAGO</t>
  </si>
  <si>
    <t xml:space="preserve">COMBUSTIBLE LINARES 2º CAMIONETA </t>
  </si>
  <si>
    <t xml:space="preserve">CESAR MOLINA </t>
  </si>
  <si>
    <t xml:space="preserve">JONATAN NAVARRETE</t>
  </si>
  <si>
    <t xml:space="preserve">LSVK-48</t>
  </si>
  <si>
    <t xml:space="preserve">PAGO 31 º/36 CUOTA HKWJ-11</t>
  </si>
  <si>
    <t xml:space="preserve">LUBRICENTRO</t>
  </si>
  <si>
    <t xml:space="preserve">EMPRESAS REEMPLAZO ARRIENDO (PAGO FACTURAS)</t>
  </si>
  <si>
    <t xml:space="preserve">PAGO 19º/36  CUOTA FLOTA PRIMAS KV.GZ-72</t>
  </si>
  <si>
    <t xml:space="preserve">SEGURO CAMIONETA X4</t>
  </si>
  <si>
    <t xml:space="preserve">Sueldo HUGO LAGOS</t>
  </si>
  <si>
    <t xml:space="preserve">PEAJES</t>
  </si>
  <si>
    <t xml:space="preserve">Peajes </t>
  </si>
  <si>
    <t xml:space="preserve">SUB TOTAL GASTO FIJO</t>
  </si>
  <si>
    <t xml:space="preserve">Sueldo EXEQUIEL CASTRO</t>
  </si>
  <si>
    <t xml:space="preserve">BAJA KM 15 </t>
  </si>
  <si>
    <t xml:space="preserve">IMPOSICIONES</t>
  </si>
  <si>
    <t xml:space="preserve">MOK</t>
  </si>
  <si>
    <t xml:space="preserve">FACT Nº1010</t>
  </si>
  <si>
    <t xml:space="preserve">EMPRESAS REEMPLAZO</t>
  </si>
  <si>
    <t xml:space="preserve">CUOTA CREDITO PROYECTO BCI 3/36 (CUOTA SUSPENDIDA HASTA NOV)</t>
  </si>
  <si>
    <t xml:space="preserve">JUAN PABLO CESPEDES </t>
  </si>
  <si>
    <t xml:space="preserve">Sueldo MAURICIO GUZMAN</t>
  </si>
  <si>
    <t xml:space="preserve">Sueldo Luis</t>
  </si>
  <si>
    <t xml:space="preserve">TOTAL INGRESO  </t>
  </si>
  <si>
    <t xml:space="preserve">ROSALES PINTURA 15</t>
  </si>
  <si>
    <t xml:space="preserve">HUGO Espinoza</t>
  </si>
  <si>
    <t xml:space="preserve">EMPRESAS REEMPLAZO COPAGO</t>
  </si>
  <si>
    <t xml:space="preserve">PAGO 31º/36 CUOTA HKWJ-14</t>
  </si>
  <si>
    <t xml:space="preserve">FACT Nº981-985</t>
  </si>
  <si>
    <t xml:space="preserve">PAMELA </t>
  </si>
  <si>
    <t xml:space="preserve">PAGO 13º/36º CUOTA VOLSKWAGEN VOYAGE LG.HZ-38</t>
  </si>
  <si>
    <t xml:space="preserve">IMPOSICIONES </t>
  </si>
  <si>
    <t xml:space="preserve">TOTAL INGRESO - TOTAL GASTO</t>
  </si>
  <si>
    <t xml:space="preserve">COMBUSTIBLE POR IR A CAMBIAR CAMIONETA A LOS ANGELES</t>
  </si>
  <si>
    <t xml:space="preserve">VALESKA VERGARA</t>
  </si>
  <si>
    <t xml:space="preserve">RAC</t>
  </si>
  <si>
    <t xml:space="preserve">IMPOSICIONES PAMELA</t>
  </si>
  <si>
    <t xml:space="preserve">ESTACIONAMIENTO </t>
  </si>
  <si>
    <t xml:space="preserve">Sueldo EDUARDO</t>
  </si>
  <si>
    <t xml:space="preserve">BRAULIO 35%</t>
  </si>
  <si>
    <t xml:space="preserve">Jorge GARCIA </t>
  </si>
  <si>
    <t xml:space="preserve">MYRIAM MORALES</t>
  </si>
  <si>
    <t xml:space="preserve">LSVK-46</t>
  </si>
  <si>
    <t xml:space="preserve">PAGO 30º/36º CUOTA JGCZ-56-2</t>
  </si>
  <si>
    <t xml:space="preserve">EMPRESAS</t>
  </si>
  <si>
    <t xml:space="preserve">GONZALO ARAVENA</t>
  </si>
  <si>
    <t xml:space="preserve">PAGO 11º/ 36º CUOTA FLOTA VOYAGE 2020 X8</t>
  </si>
  <si>
    <t xml:space="preserve">CRUCES OYARCE GONZALO ANTONIO</t>
  </si>
  <si>
    <t xml:space="preserve">MANTENCION CAMIONETA</t>
  </si>
  <si>
    <t xml:space="preserve">BITACORAS</t>
  </si>
  <si>
    <t xml:space="preserve">MIGUEL 65%</t>
  </si>
  <si>
    <t xml:space="preserve">Sueldo FRANCISCO GUTIERREZ</t>
  </si>
  <si>
    <t xml:space="preserve">MARCELA AMARO</t>
  </si>
  <si>
    <t xml:space="preserve">ALVARO GUERRERO</t>
  </si>
  <si>
    <t xml:space="preserve">SEGURO AUTOMOTRIZ X8</t>
  </si>
  <si>
    <t xml:space="preserve">CUEVAS CARVAJAL HANS ALBERTO</t>
  </si>
  <si>
    <t xml:space="preserve">BATERIA  </t>
  </si>
  <si>
    <t xml:space="preserve">DIEGO 25% DE 65%</t>
  </si>
  <si>
    <t xml:space="preserve">GASTOS VEHICULOS</t>
  </si>
  <si>
    <t xml:space="preserve">PAGO 30º/36ª CUOTA HK.WJ-12</t>
  </si>
  <si>
    <t xml:space="preserve">PAGO 11º/36º CUOTA LL.FR-16</t>
  </si>
  <si>
    <t xml:space="preserve">GOMEZ MENDEZ JORGE LUIS</t>
  </si>
  <si>
    <t xml:space="preserve">RENDICION BRAULIO TARJETA PERSONA</t>
  </si>
  <si>
    <t xml:space="preserve">COMBUSTIBLE EDUARDO</t>
  </si>
  <si>
    <t xml:space="preserve">EFECTIVO MIGUEL</t>
  </si>
  <si>
    <t xml:space="preserve">COMBUSTIBLE Y PEAJE CESAR MOLINA</t>
  </si>
  <si>
    <t xml:space="preserve">MANUEL MOYANO</t>
  </si>
  <si>
    <t xml:space="preserve">KXVW-99</t>
  </si>
  <si>
    <t xml:space="preserve">EUROP</t>
  </si>
  <si>
    <t xml:space="preserve">VICTOR HODGES E IMPOSICIONES </t>
  </si>
  <si>
    <t xml:space="preserve">HERRERA ESPARZA JUAN CARLOS</t>
  </si>
  <si>
    <t xml:space="preserve">COMBUSTIBLE LUIS </t>
  </si>
  <si>
    <t xml:space="preserve">COMBUSTIBLE Y PEAJE HUGO Espinoza</t>
  </si>
  <si>
    <t xml:space="preserve">OSCAR ARRIAGADA</t>
  </si>
  <si>
    <t xml:space="preserve">LVDW-36</t>
  </si>
  <si>
    <t xml:space="preserve">FIAT TIPO</t>
  </si>
  <si>
    <t xml:space="preserve">AUXILIA</t>
  </si>
  <si>
    <t xml:space="preserve">NISSAN</t>
  </si>
  <si>
    <t xml:space="preserve">HUENCHUL MARTINEZ MANUEL ANTONIO</t>
  </si>
  <si>
    <t xml:space="preserve">FUELLE Y ABRAZADERA MITSUBISHI HWCF-18</t>
  </si>
  <si>
    <t xml:space="preserve">Sueldo  ERICK SEPULVEDA </t>
  </si>
  <si>
    <t xml:space="preserve">COMBUSTIBLE Y PEAJE Jorge GARCIA</t>
  </si>
  <si>
    <t xml:space="preserve">PAGO 18 º/36º CUOTA NISSAN KZ.HY-32</t>
  </si>
  <si>
    <t xml:space="preserve">PLAN CELULAR</t>
  </si>
  <si>
    <t xml:space="preserve">ANDREA GARCIA</t>
  </si>
  <si>
    <t xml:space="preserve">ISLA ROMERO HECTOR EDUARDO</t>
  </si>
  <si>
    <t xml:space="preserve">BALATAS MITSUBISHI HWCF-18</t>
  </si>
  <si>
    <t xml:space="preserve">COMBUSTIBLE TAG</t>
  </si>
  <si>
    <t xml:space="preserve">NIBALDO FERNANDEZ</t>
  </si>
  <si>
    <t xml:space="preserve">LSVK-47</t>
  </si>
  <si>
    <t xml:space="preserve">vOYAGE</t>
  </si>
  <si>
    <t xml:space="preserve">CUOTA 4/36 NISSAN LY.WD-18  </t>
  </si>
  <si>
    <t xml:space="preserve">MANTENCION TRANSBANK </t>
  </si>
  <si>
    <t xml:space="preserve">LARENAS OSORIO CARLOS PATRICIO</t>
  </si>
  <si>
    <t xml:space="preserve">IMPICIONES</t>
  </si>
  <si>
    <t xml:space="preserve">LUCAS ACEVEDO</t>
  </si>
  <si>
    <t xml:space="preserve">LGHZ-38</t>
  </si>
  <si>
    <t xml:space="preserve">PAGO 23º/36º CUOTA KP.RT-97</t>
  </si>
  <si>
    <t xml:space="preserve">COMBUSTIBLE JZBZ81 SSANGYONG 2018</t>
  </si>
  <si>
    <t xml:space="preserve">RODRIGO MOYA</t>
  </si>
  <si>
    <t xml:space="preserve">MEDINA HERRERA IVAN CLAUDIO</t>
  </si>
  <si>
    <t xml:space="preserve">PAGO 19º/ CUOTA KX.BW-12</t>
  </si>
  <si>
    <t xml:space="preserve">PEAJES JZBZ81 SSANGYONG 2018</t>
  </si>
  <si>
    <t xml:space="preserve">MONSALVE ALARCON LUIS RODOLFO</t>
  </si>
  <si>
    <t xml:space="preserve">Sueldo PABLO MARILEO </t>
  </si>
  <si>
    <t xml:space="preserve">SONIA CAMINO</t>
  </si>
  <si>
    <t xml:space="preserve">KCVW-99</t>
  </si>
  <si>
    <t xml:space="preserve">SEGURO AUTOMOTRIZ X4</t>
  </si>
  <si>
    <t xml:space="preserve">COMBUSTIBLE LLEVAR A LINARES</t>
  </si>
  <si>
    <t xml:space="preserve">YANIRIS BAHAMON</t>
  </si>
  <si>
    <t xml:space="preserve">RAMIREZ RODRIGUE JAIMEZ ALEXIE </t>
  </si>
  <si>
    <t xml:space="preserve">PAGO 4/36 LY.WD-17</t>
  </si>
  <si>
    <t xml:space="preserve">PAREJA RETAMAL CAMILO HERNAN</t>
  </si>
  <si>
    <t xml:space="preserve">FILTRO DE ACEITE ORIGINAL NP 300 CAMIONETRA CONAF</t>
  </si>
  <si>
    <t xml:space="preserve">PEÑA DIAZ RODRIGO ALEXIS</t>
  </si>
  <si>
    <t xml:space="preserve">COMBUSTIBLE POR IR A CONAF </t>
  </si>
  <si>
    <t xml:space="preserve">PAGO 19º/ CUOTA NISSAN KX.BT-56</t>
  </si>
  <si>
    <t xml:space="preserve">SAEZ GARCIA HECTOR DANIEL 22 DIAS TRABAJADOS</t>
  </si>
  <si>
    <t xml:space="preserve">Sueldo MARIO OTEISA </t>
  </si>
  <si>
    <t xml:space="preserve">FACT. Nº 986</t>
  </si>
  <si>
    <t xml:space="preserve">VIDAL MORALES BERNARDO ENRIQUE</t>
  </si>
  <si>
    <t xml:space="preserve">AXA</t>
  </si>
  <si>
    <t xml:space="preserve">FACT. Nº 991</t>
  </si>
  <si>
    <t xml:space="preserve">VOGAGE</t>
  </si>
  <si>
    <t xml:space="preserve">CERNA VEGA VICTOR HUGO</t>
  </si>
  <si>
    <t xml:space="preserve">FACT. Nº958</t>
  </si>
  <si>
    <t xml:space="preserve">PAGO 14º/36º CUOTA VOLSKWAGEN VOYAGE LG.HZ-40</t>
  </si>
  <si>
    <t xml:space="preserve">OTROS </t>
  </si>
  <si>
    <t xml:space="preserve">SOTO ACUÑA JUAN GUILLERMO</t>
  </si>
  <si>
    <t xml:space="preserve">FILTRO DE PETROLEO Y ACEITE  FURGON KSVP-43</t>
  </si>
  <si>
    <t xml:space="preserve">PAGO 10º/ 36º CUOTA FLOTA VOYAGE 2020 (8/10 EN CURICO)</t>
  </si>
  <si>
    <t xml:space="preserve">BENCINA </t>
  </si>
  <si>
    <t xml:space="preserve">Sueldo LUIS AYALA </t>
  </si>
  <si>
    <t xml:space="preserve">ADBLUE  KS-VP-43 FURGON PEUGEOT </t>
  </si>
  <si>
    <t xml:space="preserve">EMPRESAS </t>
  </si>
  <si>
    <t xml:space="preserve">SEGURO AUTOMOTRIZ X3</t>
  </si>
  <si>
    <t xml:space="preserve">COMBUSTIBLE AP 99</t>
  </si>
  <si>
    <t xml:space="preserve">SOCIEDAD CLARO VICUÑA</t>
  </si>
  <si>
    <t xml:space="preserve">LRYG-43</t>
  </si>
  <si>
    <t xml:space="preserve">COMBUSTIBLE AP 47</t>
  </si>
  <si>
    <t xml:space="preserve">LSVK-54</t>
  </si>
  <si>
    <t xml:space="preserve">PAGO 20º/36  CUOTA FLOTA PRIMAS (2 INGRESADOS EN CURICO)</t>
  </si>
  <si>
    <t xml:space="preserve">PETROLEO </t>
  </si>
  <si>
    <t xml:space="preserve">COMBUSTIBLE AP 48</t>
  </si>
  <si>
    <t xml:space="preserve">LITCITY</t>
  </si>
  <si>
    <t xml:space="preserve">LSVK-53</t>
  </si>
  <si>
    <t xml:space="preserve">BENCINA</t>
  </si>
  <si>
    <t xml:space="preserve">COMBUSTIBLE AP 49</t>
  </si>
  <si>
    <t xml:space="preserve">Sueldo CRISTIAN SALAZAR </t>
  </si>
  <si>
    <t xml:space="preserve">RODRIGO CARRASCO</t>
  </si>
  <si>
    <t xml:space="preserve">KWYR-10</t>
  </si>
  <si>
    <t xml:space="preserve">SYMBOL</t>
  </si>
  <si>
    <t xml:space="preserve">GUANTES ROBERT</t>
  </si>
  <si>
    <t xml:space="preserve">JUAN GAJARDO</t>
  </si>
  <si>
    <t xml:space="preserve">PAGO 6º/36º CUOTA RENAULT SYMBOL LWHK-26</t>
  </si>
  <si>
    <t xml:space="preserve">INGRESO</t>
  </si>
  <si>
    <t xml:space="preserve">PLANES TELEFONO</t>
  </si>
  <si>
    <t xml:space="preserve">JUAN JARA</t>
  </si>
  <si>
    <t xml:space="preserve">PAGO 6º/36º CUOTA RENAULT SYMBOL LWHK-33</t>
  </si>
  <si>
    <t xml:space="preserve">ALCOHOL Y JABON</t>
  </si>
  <si>
    <t xml:space="preserve">INGENERIA ICONO</t>
  </si>
  <si>
    <t xml:space="preserve">PAGO 6º/36º CUOTA RENAULT SYMBOL LWHK-32</t>
  </si>
  <si>
    <t xml:space="preserve">VIAJE A SAN PEDRO PABLO VARGAS</t>
  </si>
  <si>
    <t xml:space="preserve">Sueldo ROBERTO QUIROGA </t>
  </si>
  <si>
    <t xml:space="preserve">ZAPATOS  </t>
  </si>
  <si>
    <t xml:space="preserve">FORESTAL LAGE</t>
  </si>
  <si>
    <t xml:space="preserve">HKWL-14</t>
  </si>
  <si>
    <t xml:space="preserve">FIAT TIPO </t>
  </si>
  <si>
    <t xml:space="preserve">TRAJES SAN PEDRO FACT Nº123033</t>
  </si>
  <si>
    <t xml:space="preserve">PAGO 8/36 CUOTA FIAT TIPO LRYG-43</t>
  </si>
  <si>
    <t xml:space="preserve">FELIPE MUÑOZ</t>
  </si>
  <si>
    <t xml:space="preserve">KWYR-12</t>
  </si>
  <si>
    <t xml:space="preserve">CAMIONETA</t>
  </si>
  <si>
    <t xml:space="preserve">PAGO 8/36 CUOTA FIAT TIPO LRYG-40</t>
  </si>
  <si>
    <t xml:space="preserve">TAG </t>
  </si>
  <si>
    <t xml:space="preserve">Sueldo ROBERTO OTEIZA</t>
  </si>
  <si>
    <t xml:space="preserve">SOC.COMERCIAL FUMIMOUSE</t>
  </si>
  <si>
    <t xml:space="preserve">LLFR-16</t>
  </si>
  <si>
    <t xml:space="preserve">SSANYONG</t>
  </si>
  <si>
    <t xml:space="preserve">PAGO 8/36 CUOTA FIAT TIPO LVDW-36 </t>
  </si>
  <si>
    <t xml:space="preserve">JZCD-10</t>
  </si>
  <si>
    <t xml:space="preserve">PAGO 8/36 CUOTA FIAT TIPO LVJP-60</t>
  </si>
  <si>
    <t xml:space="preserve">KAUEL</t>
  </si>
  <si>
    <t xml:space="preserve">HKWJ-14 / KWYR-10 / JGCZ-56</t>
  </si>
  <si>
    <t xml:space="preserve">TAPIZ 9 AUTOS FALTANTE</t>
  </si>
  <si>
    <t xml:space="preserve">SOLANCH </t>
  </si>
  <si>
    <t xml:space="preserve">TRAJES BLANCOS </t>
  </si>
  <si>
    <t xml:space="preserve">EDGAR COAQUIRA</t>
  </si>
  <si>
    <t xml:space="preserve">HWCF-18</t>
  </si>
  <si>
    <t xml:space="preserve">KARLA BARRETO </t>
  </si>
  <si>
    <t xml:space="preserve">bateria salvador rentacar</t>
  </si>
  <si>
    <t xml:space="preserve">KPRT-97</t>
  </si>
  <si>
    <t xml:space="preserve">NP 300</t>
  </si>
  <si>
    <t xml:space="preserve">IMPOSICIONES KARLA</t>
  </si>
  <si>
    <t xml:space="preserve">CARGA DE GAS VIAJE CONCEPCION</t>
  </si>
  <si>
    <t xml:space="preserve">bateria el salvador rentacar</t>
  </si>
  <si>
    <t xml:space="preserve">ERNER PEREZ</t>
  </si>
  <si>
    <t xml:space="preserve">KXBW-12</t>
  </si>
  <si>
    <t xml:space="preserve">MASCARILLAS SALVADOR</t>
  </si>
  <si>
    <t xml:space="preserve">ANDREA ASEO</t>
  </si>
  <si>
    <t xml:space="preserve">DOS PEAJES DE ITATA 4290 </t>
  </si>
  <si>
    <t xml:space="preserve">2 CAJAS GUANTES</t>
  </si>
  <si>
    <t xml:space="preserve">lateral 1050</t>
  </si>
  <si>
    <t xml:space="preserve">RENDICION BRAULIO</t>
  </si>
  <si>
    <t xml:space="preserve">AGRICOLA EL CARRETON</t>
  </si>
  <si>
    <t xml:space="preserve">LSVK-55</t>
  </si>
  <si>
    <t xml:space="preserve">NELVIS VILLALOBOS</t>
  </si>
  <si>
    <t xml:space="preserve">DIEFENCIA 14320</t>
  </si>
  <si>
    <t xml:space="preserve">IMPOSICIONES NELVIS</t>
  </si>
  <si>
    <t xml:space="preserve">RECARGA DE GAS </t>
  </si>
  <si>
    <t xml:space="preserve">KWYR</t>
  </si>
  <si>
    <t xml:space="preserve">GONZALO ARAVENA E IMPOSICIONES</t>
  </si>
  <si>
    <t xml:space="preserve">CARGA DE GAS </t>
  </si>
  <si>
    <t xml:space="preserve">GONZALO GALLARDO</t>
  </si>
  <si>
    <t xml:space="preserve">ALVARO GUERRERO FINIQUITO</t>
  </si>
  <si>
    <t xml:space="preserve">EMPRESAS DE REEMPLAZO PAGO FACTURAS</t>
  </si>
  <si>
    <t xml:space="preserve">TELENER</t>
  </si>
  <si>
    <t xml:space="preserve">KZHZ-41</t>
  </si>
  <si>
    <t xml:space="preserve">FELIPE MUÑOZ CHOFER</t>
  </si>
  <si>
    <t xml:space="preserve">FACT Nº 972</t>
  </si>
  <si>
    <t xml:space="preserve">LVWD-35</t>
  </si>
  <si>
    <t xml:space="preserve">FACT Nº 947</t>
  </si>
  <si>
    <t xml:space="preserve">HKWJ-14 </t>
  </si>
  <si>
    <t xml:space="preserve">RICARDO MAESTRO</t>
  </si>
  <si>
    <t xml:space="preserve">FACT Nº 977</t>
  </si>
  <si>
    <t xml:space="preserve">FACT Nº 997</t>
  </si>
  <si>
    <t xml:space="preserve">FRANCISCO MORAN</t>
  </si>
  <si>
    <t xml:space="preserve">IMPOSICIONES FRANCISCO CON MULTA</t>
  </si>
  <si>
    <t xml:space="preserve">FLUENCIA</t>
  </si>
  <si>
    <t xml:space="preserve">HKWJ-12</t>
  </si>
  <si>
    <t xml:space="preserve">IMPOSICIONES MARTIN </t>
  </si>
  <si>
    <t xml:space="preserve">SUELDO FELIPE SOTO </t>
  </si>
  <si>
    <t xml:space="preserve">JUAN RAMIREZ</t>
  </si>
  <si>
    <t xml:space="preserve">KZHY-32</t>
  </si>
  <si>
    <t xml:space="preserve">NP 300 </t>
  </si>
  <si>
    <t xml:space="preserve">SUELDO MAESTRO ANTOLIN </t>
  </si>
  <si>
    <t xml:space="preserve">  </t>
  </si>
  <si>
    <t xml:space="preserve">MARCELO ADASME</t>
  </si>
  <si>
    <t xml:space="preserve">CONTABILIDAD </t>
  </si>
  <si>
    <t xml:space="preserve">PEDRO HERRERA</t>
  </si>
  <si>
    <t xml:space="preserve">RRHH</t>
  </si>
  <si>
    <t xml:space="preserve">FEDERICO STEVEN</t>
  </si>
  <si>
    <t xml:space="preserve">FINANZAS </t>
  </si>
  <si>
    <t xml:space="preserve">AGRIGOLA MERCEDARIO SPA</t>
  </si>
  <si>
    <t xml:space="preserve">PAGO FINIQUITO RICARDO HUENCHULLANCA </t>
  </si>
  <si>
    <t xml:space="preserve">2407-20</t>
  </si>
  <si>
    <t xml:space="preserve">IMPUESTOS </t>
  </si>
  <si>
    <t xml:space="preserve">PASES DIARIOS O TAG</t>
  </si>
  <si>
    <t xml:space="preserve">SOLANCH TEJOS </t>
  </si>
  <si>
    <t xml:space="preserve">RENT A CAR RESP. LTDA</t>
  </si>
  <si>
    <t xml:space="preserve">TERESA GARRIDO ROJAS E HIJOS LTDA</t>
  </si>
  <si>
    <t xml:space="preserve">FREE FLOW</t>
  </si>
  <si>
    <t xml:space="preserve">RECARGA ALARMA </t>
  </si>
  <si>
    <t xml:space="preserve">RECARGAS GPS </t>
  </si>
  <si>
    <t xml:space="preserve">ARRIENDO</t>
  </si>
  <si>
    <t xml:space="preserve">LUZ </t>
  </si>
  <si>
    <t xml:space="preserve">WUALTER HERRERA</t>
  </si>
  <si>
    <t xml:space="preserve">AGUA </t>
  </si>
  <si>
    <t xml:space="preserve">INOSAT GPS</t>
  </si>
  <si>
    <t xml:space="preserve">SOBRE SEGURO </t>
  </si>
  <si>
    <t xml:space="preserve">INTERNET VTR </t>
  </si>
  <si>
    <t xml:space="preserve">PEDRO VASQUEZ</t>
  </si>
  <si>
    <t xml:space="preserve">DAÑO PARABRISA</t>
  </si>
  <si>
    <t xml:space="preserve">PLAN CELULAR </t>
  </si>
  <si>
    <t xml:space="preserve">PAUL VALENZUELA</t>
  </si>
  <si>
    <t xml:space="preserve">LGHZ-39</t>
  </si>
  <si>
    <t xml:space="preserve">DEDUCIBLE </t>
  </si>
  <si>
    <t xml:space="preserve">PAGO A GRUPO FIRMA (500.000)</t>
  </si>
  <si>
    <t xml:space="preserve">PARABRISAS</t>
  </si>
  <si>
    <t xml:space="preserve">MASTER BASE </t>
  </si>
  <si>
    <t xml:space="preserve">ABOLLON Y LUZ</t>
  </si>
  <si>
    <t xml:space="preserve">RELBASE </t>
  </si>
  <si>
    <t xml:space="preserve">UTILES DE PRISA </t>
  </si>
  <si>
    <t xml:space="preserve">PLAN TELEFONO NELVIS </t>
  </si>
  <si>
    <t xml:space="preserve">GASTOS VARIABLES</t>
  </si>
  <si>
    <t xml:space="preserve">AGUAS MANATIAL</t>
  </si>
  <si>
    <t xml:space="preserve">PAGO TAG`S SOLANCH</t>
  </si>
  <si>
    <t xml:space="preserve">PAGO TAG`S  VARGAS GARRIDO</t>
  </si>
  <si>
    <t xml:space="preserve">PAGO TAG`S  TERESA</t>
  </si>
  <si>
    <t xml:space="preserve">PAGO TAG`S  HOSTAL</t>
  </si>
  <si>
    <t xml:space="preserve">PINTURAS, REPARACIONES Y ACCESORIOS</t>
  </si>
  <si>
    <t xml:space="preserve">CAMIONETA QUE ARRENDÓ ROSSELOT </t>
  </si>
  <si>
    <t xml:space="preserve">TAPIZ FIAT- 60</t>
  </si>
  <si>
    <t xml:space="preserve">ALCOHOL GEL </t>
  </si>
  <si>
    <t xml:space="preserve">COMBUSTIBLE CAMIONETA </t>
  </si>
  <si>
    <t xml:space="preserve">AUTO DE CURICO A TALCA COMBUSTIBLE </t>
  </si>
  <si>
    <t xml:space="preserve">ADHESIVOS </t>
  </si>
  <si>
    <t xml:space="preserve">RECARGA 2 GPS </t>
  </si>
  <si>
    <t xml:space="preserve">CEMENTOS </t>
  </si>
  <si>
    <t xml:space="preserve">PEAJE DE SR GONZALO </t>
  </si>
  <si>
    <t xml:space="preserve">PARABRISAS HKWJ-14 </t>
  </si>
  <si>
    <t xml:space="preserve">CLAVOS </t>
  </si>
  <si>
    <t xml:space="preserve">COMPRA ANOTACIONES VIGENTES PARA VEHICULOS (SOLANCH) </t>
  </si>
  <si>
    <t xml:space="preserve">PATENTE SOLANCH- MUNICIPALIDAD. </t>
  </si>
  <si>
    <t xml:space="preserve">CAMBIO DE NEUMATICO CAMIONETA JZBZ-56 </t>
  </si>
  <si>
    <t xml:space="preserve">MATERIALES (SILICONA, AUTOPERFORANTE ) </t>
  </si>
  <si>
    <t xml:space="preserve">TAPABARRO VOYAGE LGHZ-39</t>
  </si>
  <si>
    <t xml:space="preserve">BENCINA AUTO </t>
  </si>
  <si>
    <t xml:space="preserve">BENCINA AUTO AUTOMATICO </t>
  </si>
  <si>
    <t xml:space="preserve">ABONO TAPIZ - 51 </t>
  </si>
  <si>
    <t xml:space="preserve">PARACHOQUES 39 Y 50 </t>
  </si>
  <si>
    <t xml:space="preserve">LIENZA </t>
  </si>
  <si>
    <t xml:space="preserve">COMBUSTIBLE TARJETA DE SOLANCH </t>
  </si>
  <si>
    <t xml:space="preserve">TAPIZ DE VOYAGE 46 Y 50 </t>
  </si>
  <si>
    <t xml:space="preserve">DISCO DE CORTE </t>
  </si>
  <si>
    <t xml:space="preserve">COMPRA AUTOFAX </t>
  </si>
  <si>
    <t xml:space="preserve">PARABRISAS NP 12 </t>
  </si>
  <si>
    <t xml:space="preserve">TAPIZ PRISMA 72 Y VOLKSWAGEN 50 </t>
  </si>
  <si>
    <t xml:space="preserve">ESPEJO PARA SSAGYONG LLFR-16</t>
  </si>
  <si>
    <t xml:space="preserve">RECARGA GPS </t>
  </si>
  <si>
    <t xml:space="preserve">CUBRE VOLANTES  4</t>
  </si>
  <si>
    <t xml:space="preserve">IMPRESIÓN E INSTALACION PARA PUBLICIDAD RENT A CAR </t>
  </si>
  <si>
    <t xml:space="preserve">EULISES PICON - CAMIONETA PLOMA ULTIMA COMPRA </t>
  </si>
  <si>
    <t xml:space="preserve">TRAJE IMPERMEABLE (COMPRO ANDREA CELESTE)</t>
  </si>
  <si>
    <t xml:space="preserve">DEVOLUCION CUENTA SOLANCH </t>
  </si>
  <si>
    <t xml:space="preserve">JABON </t>
  </si>
  <si>
    <t xml:space="preserve">MODIFICACION DE ESCRITURA DE GARRIDO VARGAS </t>
  </si>
  <si>
    <t xml:space="preserve">ARRIENDO DE LETRERO PUBLICITARIO </t>
  </si>
  <si>
    <t xml:space="preserve">TAPIZ DE FIAT LVDW-36</t>
  </si>
  <si>
    <t xml:space="preserve">SENSOR DIP </t>
  </si>
  <si>
    <t xml:space="preserve">RENDICION BRAULIO TARJETA RENT A CAR</t>
  </si>
  <si>
    <t xml:space="preserve">Rodamiento de alternador  JZGZ56 CAMIONETA 2017</t>
  </si>
  <si>
    <t xml:space="preserve">RETEN DE CIGÜEÑAL  JZGZ56 CAMIONETA 2017</t>
  </si>
  <si>
    <t xml:space="preserve">LIJAS  USO DIARIO</t>
  </si>
  <si>
    <t xml:space="preserve">FILTRO DE ACEITE  LL-FR-16 SSANG YONG 2020</t>
  </si>
  <si>
    <t xml:space="preserve">EASY GALPON</t>
  </si>
  <si>
    <t xml:space="preserve">CANDADO RENTACAR</t>
  </si>
  <si>
    <t xml:space="preserve">REFRIGERANTE JZGZ56 CAMIONETA 2017</t>
  </si>
  <si>
    <t xml:space="preserve">ALINEACION Y BALANCEO HKWJ-14</t>
  </si>
  <si>
    <t xml:space="preserve">COMBUSTIBLE JZCD10</t>
  </si>
  <si>
    <t xml:space="preserve">PEAJES JZCD10</t>
  </si>
  <si>
    <t xml:space="preserve">COMBUSTIBLE LSVK50</t>
  </si>
  <si>
    <t xml:space="preserve">PEAJES LSVK50</t>
  </si>
  <si>
    <t xml:space="preserve">PERNOS ANTIVUELCO JZCD10</t>
  </si>
  <si>
    <t xml:space="preserve">FILTRO PETROLEO Y ACEITE ORIGINAL KXBW-12  KTCK-89</t>
  </si>
  <si>
    <t xml:space="preserve">SENSOR DE TEMPERATURA KVHC-60</t>
  </si>
  <si>
    <t xml:space="preserve">CARGAS DE GAS  HRPK-51</t>
  </si>
  <si>
    <t xml:space="preserve">SHIP ENTEL PARA GPS 2 UNIDADES </t>
  </si>
  <si>
    <t xml:space="preserve">GUIA DE PARACHOQUE NP300 KX-BW-12 ENCARGADO AUN  NO FACTURA</t>
  </si>
  <si>
    <t xml:space="preserve">LIJAS AL AGUA  USO RENTACAR</t>
  </si>
  <si>
    <t xml:space="preserve">FILTRO DE ACEITE  NP 300 LGHW-38</t>
  </si>
  <si>
    <t xml:space="preserve">DIFERENCIA DE SENSOR DE TEMPERATURA  KVHC-60</t>
  </si>
  <si>
    <t xml:space="preserve">CANDADOS  RENTACAR</t>
  </si>
  <si>
    <t xml:space="preserve">MENSULAS DE VORAJE  LGHZ-39</t>
  </si>
  <si>
    <t xml:space="preserve"> PEAJES VIAJE A VER TOYOTA</t>
  </si>
  <si>
    <t xml:space="preserve">COMBUSTIBLE VIAJE A VER TOYOTA</t>
  </si>
  <si>
    <t xml:space="preserve">JUEGO DADOS ESPECIALES TALLER</t>
  </si>
  <si>
    <t xml:space="preserve">GUARDA BARRO VORAGE X3 REPUESTOS-NOVO</t>
  </si>
  <si>
    <t xml:space="preserve">RENDICION KARLA TARJETA RENT A CAR</t>
  </si>
  <si>
    <t xml:space="preserve">SOLDADURA</t>
  </si>
  <si>
    <t xml:space="preserve">COPEC LVDW-36</t>
  </si>
  <si>
    <t xml:space="preserve">FILTRO DE AIRE Y CEITE PARA LA NISSAN KTCK-89</t>
  </si>
  <si>
    <t xml:space="preserve">TERMOSTATO HYUNDAI ACCENT LUBRICENTRO</t>
  </si>
  <si>
    <t xml:space="preserve">DISCO DE CORTE</t>
  </si>
  <si>
    <t xml:space="preserve">copec KVGZ-72</t>
  </si>
  <si>
    <t xml:space="preserve">FILTRO FURGON</t>
  </si>
  <si>
    <t xml:space="preserve">FILTRO DE ACEITE JZBZ-81</t>
  </si>
  <si>
    <t xml:space="preserve">COMBUSTIBLE LSVK-47</t>
  </si>
  <si>
    <t xml:space="preserve">BCOMBUSTIBLE KVHC-60</t>
  </si>
  <si>
    <t xml:space="preserve">RENDICION BRAULIO TARJETA PERSONAL</t>
  </si>
  <si>
    <t xml:space="preserve">GASTO</t>
  </si>
  <si>
    <t xml:space="preserve">LINARES</t>
  </si>
  <si>
    <t xml:space="preserve">CURICO</t>
  </si>
  <si>
    <t xml:space="preserve">BALANCE 3 SUCURSALES</t>
  </si>
  <si>
    <t xml:space="preserve">BALANCE PROYECTOS</t>
  </si>
  <si>
    <t xml:space="preserve">MOP CALAMA </t>
  </si>
  <si>
    <t xml:space="preserve">MOP LOS ANGELES</t>
  </si>
  <si>
    <t xml:space="preserve">MOP CONCEPCION</t>
  </si>
  <si>
    <t xml:space="preserve">MOP RANCAGUA </t>
  </si>
  <si>
    <t xml:space="preserve">SERVIU IQUIQUE</t>
  </si>
  <si>
    <t xml:space="preserve">HOSPITAL DEL SALVADOR </t>
  </si>
  <si>
    <t xml:space="preserve">BALANCE TODAS SUCURSALES Y/O PROYECTOS</t>
  </si>
  <si>
    <t xml:space="preserve">INGRESO POR CAMIONETA SINIESTRO MIRIAN HKWJ-11</t>
  </si>
  <si>
    <t xml:space="preserve">AHORRO</t>
  </si>
  <si>
    <t xml:space="preserve">CREDITO ITAU SOLICITDO ÉL 14-10-19 7/36</t>
  </si>
  <si>
    <t xml:space="preserve">CREDITO SANTANDER SOLICITDO ÉL 25-10-19 7/36</t>
  </si>
  <si>
    <t xml:space="preserve">CREDITO ITAU SOLICITDO ÉL 8-01-20 4/37</t>
  </si>
  <si>
    <t xml:space="preserve">PARA TRANSFERIR A CUENTA </t>
  </si>
  <si>
    <t xml:space="preserve">PARA CAJA </t>
  </si>
  <si>
    <t xml:space="preserve">BALANCE MIGUEL JUNIO</t>
  </si>
  <si>
    <t xml:space="preserve">SUB TOTAL DE GANANCIA MIGUEL ABRIL </t>
  </si>
  <si>
    <t xml:space="preserve">PAGO 36º/48º CUOTA DE HJVW-11</t>
  </si>
  <si>
    <t xml:space="preserve">SEGURO AUTO EVE</t>
  </si>
  <si>
    <t xml:space="preserve">PAGO 18º/36º CUOTA CHEVROLET PRISMA AUTOMATICO</t>
  </si>
  <si>
    <t xml:space="preserve">IMPOSICIONES EVELYN (BAJO POR SUSPENSIÓN)</t>
  </si>
  <si>
    <t xml:space="preserve">TOTAL ABRIL</t>
  </si>
  <si>
    <t xml:space="preserve">GANANCIA MAYO</t>
  </si>
  <si>
    <t xml:space="preserve">BALANCE BRAULIO JUNIO</t>
  </si>
  <si>
    <t xml:space="preserve">BALANCE </t>
  </si>
  <si>
    <t xml:space="preserve">GANANCIA O PERDIDA</t>
  </si>
  <si>
    <t xml:space="preserve">DEVOLUCION GASTOS </t>
  </si>
  <si>
    <t xml:space="preserve">BALANCE DIEGO JUNIO</t>
  </si>
  <si>
    <t xml:space="preserve">PORCENTAJE </t>
  </si>
  <si>
    <t xml:space="preserve">IMPOSICIONES SOLANCH</t>
  </si>
  <si>
    <t xml:space="preserve">PERDIDA MAYO</t>
  </si>
  <si>
    <t xml:space="preserve">CAJA JUNIO</t>
  </si>
  <si>
    <t xml:space="preserve">QUEDO EN CAJA DE MAYO</t>
  </si>
  <si>
    <t xml:space="preserve">SAN PEDRO DE LA PAZ</t>
  </si>
  <si>
    <t xml:space="preserve">COMPRA 3 CAMIONETAS MITSUBISHI ROSSELOT (63-12-X)</t>
  </si>
  <si>
    <t xml:space="preserve">TOTAL QUEDA</t>
  </si>
  <si>
    <t xml:space="preserve">PARA INGRESO A CAJA</t>
  </si>
  <si>
    <t xml:space="preserve">SUELDO BRAULIO</t>
  </si>
  <si>
    <t xml:space="preserve">SUELDO DIEGO </t>
  </si>
  <si>
    <t xml:space="preserve">SUELDO MIGUEL</t>
  </si>
  <si>
    <t xml:space="preserve">QUEDO EN CAJA PARA JULIO</t>
  </si>
  <si>
    <t xml:space="preserve">BALANCE 2019 Talca</t>
  </si>
  <si>
    <t xml:space="preserve">BALANCE 2019 LINARES</t>
  </si>
  <si>
    <t xml:space="preserve">LINARES LICITACION</t>
  </si>
  <si>
    <t xml:space="preserve">SAN PEDRO</t>
  </si>
  <si>
    <t xml:space="preserve">CALAMA </t>
  </si>
  <si>
    <t xml:space="preserve">LOS ANGELES</t>
  </si>
  <si>
    <t xml:space="preserve">CONCEPCION</t>
  </si>
  <si>
    <t xml:space="preserve">VALLENAR </t>
  </si>
  <si>
    <t xml:space="preserve">RANCAGUA</t>
  </si>
  <si>
    <t xml:space="preserve">IQUIQUE</t>
  </si>
  <si>
    <t xml:space="preserve">ÉL SALVADOR</t>
  </si>
  <si>
    <t xml:space="preserve">CONAF Talca</t>
  </si>
  <si>
    <t xml:space="preserve">SS MAULE</t>
  </si>
  <si>
    <t xml:space="preserve">GENERAL</t>
  </si>
  <si>
    <t xml:space="preserve">MES</t>
  </si>
  <si>
    <t xml:space="preserve">GASTO </t>
  </si>
  <si>
    <t xml:space="preserve">RESULTADO</t>
  </si>
  <si>
    <t xml:space="preserve">COMPROBAR</t>
  </si>
  <si>
    <t xml:space="preserve">ENERO 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</si>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</sst>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\$* #,##0_-;&quot;-$&quot;* #,##0_-;_-\$* \-_-;_-@_-"/>
    <numFmt numFmtId="166" formatCode="[$-340A]DD/MM/YYYY"/>
    <numFmt numFmtId="167" formatCode="0"/>
    <numFmt numFmtId="168" formatCode="General"/>
    <numFmt numFmtId="169" formatCode="\$#,##0"/>
    <numFmt numFmtId="170" formatCode="_-* #,##0_-;\-* #,##0_-;_-* \-_-;_-@_-"/>
    <numFmt numFmtId="171" formatCode="_(\$* #,##0_);_(\$* \(#,##0\);_(\$* \-_);_(@_)"/>
  </numFmts>
  <fonts count="23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Trebuchet MS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00B05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4"/>
      <color rgb="FF00B05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0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2"/>
      <color rgb="FFFFFFFF"/>
      <name val="Calibri"/>
      <family val="2"/>
      <charset val="1"/>
    </font>
    <font>
      <b val="true"/>
      <sz val="16"/>
      <color rgb="FF00B05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A5A5A5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1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5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4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5" borderId="2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2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5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5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5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4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5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4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4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3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2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5" borderId="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255" wrapText="false" indent="0" shrinkToFit="false"/>
      <protection locked="true" hidden="false"/>
    </xf>
    <xf numFmtId="166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1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5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3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11" fillId="5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5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0" fontId="6" fillId="0" borderId="0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5" fillId="0" borderId="0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6" fillId="4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5" fontId="0" fillId="3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0" xfId="20" applyFont="true" applyBorder="true" applyAlignment="true" applyProtection="true">
      <alignment horizontal="left" vertical="center" textRotation="45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45" wrapText="true" indent="0" shrinkToFit="false"/>
      <protection locked="true" hidden="false"/>
    </xf>
    <xf numFmtId="168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4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4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5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5" fontId="13" fillId="0" borderId="5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43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6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5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8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5" fontId="12" fillId="4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7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5" fillId="4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5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5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5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5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5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" xfId="20"/>
    <cellStyle name="Excel Built-in Comma [0]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ED7D31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TALCA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BALANCES!$B$2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BALANCES!$B$3:$B$14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BALANCES!$C$2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BALANCES!$C$3:$C$14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BALANCES!$D$2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BALANCES!$D$3:$D$14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37054877"/>
        <c:axId val="46839206"/>
      </c:lineChart>
      <c:catAx>
        <c:axId val="37054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839206"/>
        <c:crosses val="autoZero"/>
        <c:auto val="1"/>
        <c:lblAlgn val="ctr"/>
        <c:lblOffset val="100"/>
      </c:catAx>
      <c:valAx>
        <c:axId val="468392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05487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LINARES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BALANCES!$G$2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BALANCES!$G$3:$G$14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BALANCES!$H$2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BALANCES!$H$3:$H$14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BALANCES!$I$2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BALANCES!$I$3:$I$14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90401177"/>
        <c:axId val="88054317"/>
      </c:lineChart>
      <c:catAx>
        <c:axId val="90401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054317"/>
        <c:crosses val="autoZero"/>
        <c:auto val="1"/>
        <c:lblAlgn val="ctr"/>
        <c:lblOffset val="100"/>
      </c:catAx>
      <c:valAx>
        <c:axId val="880543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40117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LINARES LICITACION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BALANCES!$L$2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BALANCES!$L$3:$L$14</c:f>
              <c:numCache>
                <c:formatCode>General</c:formatCode>
                <c:ptCount val="1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BALANCES!$M$2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BALANCES!$M$3:$M$14</c:f>
              <c:numCache>
                <c:formatCode>General</c:formatCode>
                <c:ptCount val="1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BALANCES!$N$2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BALANCES!$N$3:$N$14</c:f>
              <c:numCache>
                <c:formatCode>General</c:formatCode>
                <c:ptCount val="1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4926062"/>
        <c:axId val="13044942"/>
      </c:lineChart>
      <c:catAx>
        <c:axId val="14926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044942"/>
        <c:crosses val="autoZero"/>
        <c:auto val="1"/>
        <c:lblAlgn val="ctr"/>
        <c:lblOffset val="100"/>
      </c:catAx>
      <c:valAx>
        <c:axId val="130449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926062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CURICO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BALANCES!$Q$2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BALANCES!$Q$3:$Q$14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BALANCES!$R$2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BALANCES!$R$3:$R$14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BALANCES!$S$2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BALANCES!$S$3:$S$14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5390780"/>
        <c:axId val="30755653"/>
      </c:lineChart>
      <c:catAx>
        <c:axId val="15390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755653"/>
        <c:crosses val="autoZero"/>
        <c:auto val="1"/>
        <c:lblAlgn val="ctr"/>
        <c:lblOffset val="100"/>
      </c:catAx>
      <c:valAx>
        <c:axId val="307556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390780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SAN PEDRO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BALANCES!$V$2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BALANCES!$V$3:$V$14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BALANCES!$W$2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BALANCES!$W$3:$W$14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BALANCES!$X$2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BALANCES!$X$3:$X$14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198667"/>
        <c:axId val="17253608"/>
      </c:lineChart>
      <c:catAx>
        <c:axId val="1198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253608"/>
        <c:crosses val="autoZero"/>
        <c:auto val="1"/>
        <c:lblAlgn val="ctr"/>
        <c:lblOffset val="100"/>
      </c:catAx>
      <c:valAx>
        <c:axId val="172536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9866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CALAMA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BALANCES!$AA$2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BALANCES!$AA$3:$AA$14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BALANCES!$AB$2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BALANCES!$AB$3:$AB$14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BALANCES!$AC$2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BALANCES!$AC$3:$AC$14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92698960"/>
        <c:axId val="84752129"/>
      </c:lineChart>
      <c:catAx>
        <c:axId val="926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752129"/>
        <c:crosses val="autoZero"/>
        <c:auto val="1"/>
        <c:lblAlgn val="ctr"/>
        <c:lblOffset val="100"/>
      </c:catAx>
      <c:valAx>
        <c:axId val="847521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698960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LOS ANGELES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BALANCES!$AF$2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BALANCES!$AF$3:$AF$14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BALANCES!$AG$2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BALANCES!$AG$3:$AG$14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BALANCES!$AH$2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BALANCES!$AH$3:$AH$14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96580515"/>
        <c:axId val="60487829"/>
      </c:lineChart>
      <c:catAx>
        <c:axId val="965805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487829"/>
        <c:crosses val="autoZero"/>
        <c:auto val="1"/>
        <c:lblAlgn val="ctr"/>
        <c:lblOffset val="100"/>
      </c:catAx>
      <c:valAx>
        <c:axId val="604878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580515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CONCEPCION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BALANCES!$AK$2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BALANCES!$AK$3:$AK$14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BALANCES!$AL$2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BALANCES!$AL$3:$AL$14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BALANCES!$AM$2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BALANCES!$AM$3:$AM$14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1987131"/>
        <c:axId val="21730565"/>
      </c:lineChart>
      <c:catAx>
        <c:axId val="11987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730565"/>
        <c:crosses val="autoZero"/>
        <c:auto val="1"/>
        <c:lblAlgn val="ctr"/>
        <c:lblOffset val="100"/>
      </c:catAx>
      <c:valAx>
        <c:axId val="217305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98713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VALLENAR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BALANCES!$AP$2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BALANCES!$AP$3:$AP$14</c:f>
              <c:numCache>
                <c:formatCode>General</c:formatCode>
                <c:ptCount val="1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BALANCES!$AQ$2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BALANCES!$AQ$3:$AQ$14</c:f>
              <c:numCache>
                <c:formatCode>General</c:formatCode>
                <c:ptCount val="1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BALANCES!$AR$2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BALANCES!$AR$3:$AR$14</c:f>
              <c:numCache>
                <c:formatCode>General</c:formatCode>
                <c:ptCount val="12"/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25057920"/>
        <c:axId val="25591434"/>
      </c:lineChart>
      <c:catAx>
        <c:axId val="250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591434"/>
        <c:crosses val="autoZero"/>
        <c:auto val="1"/>
        <c:lblAlgn val="ctr"/>
        <c:lblOffset val="100"/>
      </c:catAx>
      <c:valAx>
        <c:axId val="255914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057920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RANCAGUA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BALANCES!$AU$2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BALANCES!$AU$3:$AU$14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BALANCES!$AV$2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BALANCES!$AV$3:$AV$14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BALANCES!$AW$2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BALANCES!$AW$3:$AW$14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41991425"/>
        <c:axId val="33138888"/>
      </c:lineChart>
      <c:catAx>
        <c:axId val="419914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138888"/>
        <c:crosses val="autoZero"/>
        <c:auto val="1"/>
        <c:lblAlgn val="ctr"/>
        <c:lblOffset val="100"/>
      </c:catAx>
      <c:valAx>
        <c:axId val="331388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991425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IQUIQUE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BALANCES!$AZ$2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BALANCES!$AZ$3:$AZ$14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BALANCES!$BA$2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BALANCES!$BA$3:$BA$14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BALANCES!$BB$2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BALANCES!$BB$3:$BB$14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63146628"/>
        <c:axId val="8530741"/>
      </c:lineChart>
      <c:catAx>
        <c:axId val="63146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30741"/>
        <c:crosses val="autoZero"/>
        <c:auto val="1"/>
        <c:lblAlgn val="ctr"/>
        <c:lblOffset val="100"/>
      </c:catAx>
      <c:valAx>
        <c:axId val="85307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146628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EL SALVADOR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BALANCES!$BE$2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BALANCES!$BE$3:$BE$14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BALANCES!$BF$2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BALANCES!$BF$3:$BF$14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BALANCES!$BG$2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BALANCES!$BG$3:$BG$14</c:f>
              <c:numCache>
                <c:formatCode>General</c:formatCode>
                <c:ptCount val="1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26448640"/>
        <c:axId val="61070072"/>
      </c:lineChart>
      <c:catAx>
        <c:axId val="2644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070072"/>
        <c:crosses val="autoZero"/>
        <c:auto val="1"/>
        <c:lblAlgn val="ctr"/>
        <c:lblOffset val="100"/>
      </c:catAx>
      <c:valAx>
        <c:axId val="610700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448640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GENERAL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BALANCES!$BU$2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BALANCES!$BU$3:$BU$14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BALANCES!$BV$2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BALANCES!$BV$3:$BV$14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BALANCES!$BW$2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BALANCES!$BW$3:$BW$14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62498753"/>
        <c:axId val="63107602"/>
      </c:lineChart>
      <c:catAx>
        <c:axId val="62498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107602"/>
        <c:crosses val="autoZero"/>
        <c:auto val="1"/>
        <c:lblAlgn val="ctr"/>
        <c:lblOffset val="100"/>
      </c:catAx>
      <c:valAx>
        <c:axId val="631076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498753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CONAF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BALANCES!$BJ$2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BALANCES!$BJ$3:$BJ$14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BALANCES!$BK$2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BALANCES!$BK$3:$BK$14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BALANCES!$BL$2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BALANCES!$BL$3:$BL$14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97972778"/>
        <c:axId val="52402211"/>
      </c:lineChart>
      <c:catAx>
        <c:axId val="979727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402211"/>
        <c:crosses val="autoZero"/>
        <c:auto val="1"/>
        <c:lblAlgn val="ctr"/>
        <c:lblOffset val="100"/>
      </c:catAx>
      <c:valAx>
        <c:axId val="524022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972778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SSM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BALANCES!$BO$2</c:f>
              <c:strCache>
                <c:ptCount val="1"/>
                <c:pt idx="0">
                  <c:v>INGRESO 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BALANCES!$BO$3:$BO$14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BALANCES!$BP$2</c:f>
              <c:strCache>
                <c:ptCount val="1"/>
                <c:pt idx="0">
                  <c:v>GASTO 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BALANCES!$BP$3:$BP$14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BALANCES!$BQ$2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numFmt formatCode="_(\$* #,##0_);_(\$* \(#,##0\);_(\$* \-_);_(@_)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BALANCES!$A$3:$A$14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BALANCES!$BQ$3:$BQ$14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63249841"/>
        <c:axId val="1548440"/>
      </c:lineChart>
      <c:catAx>
        <c:axId val="63249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48440"/>
        <c:crosses val="autoZero"/>
        <c:auto val="1"/>
        <c:lblAlgn val="ctr"/>
        <c:lblOffset val="100"/>
      </c:catAx>
      <c:valAx>
        <c:axId val="15484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_);_(\$* \(#,##0\);_(\$* \-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249841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16</xdr:row>
      <xdr:rowOff>0</xdr:rowOff>
    </xdr:from>
    <xdr:to>
      <xdr:col>4</xdr:col>
      <xdr:colOff>101160</xdr:colOff>
      <xdr:row>29</xdr:row>
      <xdr:rowOff>88560</xdr:rowOff>
    </xdr:to>
    <xdr:graphicFrame>
      <xdr:nvGraphicFramePr>
        <xdr:cNvPr id="0" name="Gráfico 2"/>
        <xdr:cNvGraphicFramePr/>
      </xdr:nvGraphicFramePr>
      <xdr:xfrm>
        <a:off x="38160" y="3340080"/>
        <a:ext cx="454644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660240</xdr:colOff>
      <xdr:row>16</xdr:row>
      <xdr:rowOff>12600</xdr:rowOff>
    </xdr:from>
    <xdr:to>
      <xdr:col>9</xdr:col>
      <xdr:colOff>190080</xdr:colOff>
      <xdr:row>29</xdr:row>
      <xdr:rowOff>101160</xdr:rowOff>
    </xdr:to>
    <xdr:graphicFrame>
      <xdr:nvGraphicFramePr>
        <xdr:cNvPr id="1" name="Gráfico 3"/>
        <xdr:cNvGraphicFramePr/>
      </xdr:nvGraphicFramePr>
      <xdr:xfrm>
        <a:off x="5143680" y="3352680"/>
        <a:ext cx="453996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698400</xdr:colOff>
      <xdr:row>16</xdr:row>
      <xdr:rowOff>12600</xdr:rowOff>
    </xdr:from>
    <xdr:to>
      <xdr:col>14</xdr:col>
      <xdr:colOff>177480</xdr:colOff>
      <xdr:row>29</xdr:row>
      <xdr:rowOff>101160</xdr:rowOff>
    </xdr:to>
    <xdr:graphicFrame>
      <xdr:nvGraphicFramePr>
        <xdr:cNvPr id="2" name="Gráfico 4"/>
        <xdr:cNvGraphicFramePr/>
      </xdr:nvGraphicFramePr>
      <xdr:xfrm>
        <a:off x="10191960" y="3352680"/>
        <a:ext cx="474336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711360</xdr:colOff>
      <xdr:row>16</xdr:row>
      <xdr:rowOff>12600</xdr:rowOff>
    </xdr:from>
    <xdr:to>
      <xdr:col>19</xdr:col>
      <xdr:colOff>190440</xdr:colOff>
      <xdr:row>29</xdr:row>
      <xdr:rowOff>101160</xdr:rowOff>
    </xdr:to>
    <xdr:graphicFrame>
      <xdr:nvGraphicFramePr>
        <xdr:cNvPr id="3" name="Gráfico 5"/>
        <xdr:cNvGraphicFramePr/>
      </xdr:nvGraphicFramePr>
      <xdr:xfrm>
        <a:off x="15469200" y="3352680"/>
        <a:ext cx="465804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0</xdr:colOff>
      <xdr:row>16</xdr:row>
      <xdr:rowOff>0</xdr:rowOff>
    </xdr:from>
    <xdr:to>
      <xdr:col>24</xdr:col>
      <xdr:colOff>253800</xdr:colOff>
      <xdr:row>29</xdr:row>
      <xdr:rowOff>88560</xdr:rowOff>
    </xdr:to>
    <xdr:graphicFrame>
      <xdr:nvGraphicFramePr>
        <xdr:cNvPr id="4" name="Gráfico 6"/>
        <xdr:cNvGraphicFramePr/>
      </xdr:nvGraphicFramePr>
      <xdr:xfrm>
        <a:off x="20830320" y="3340080"/>
        <a:ext cx="449424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685800</xdr:colOff>
      <xdr:row>16</xdr:row>
      <xdr:rowOff>12600</xdr:rowOff>
    </xdr:from>
    <xdr:to>
      <xdr:col>29</xdr:col>
      <xdr:colOff>215640</xdr:colOff>
      <xdr:row>29</xdr:row>
      <xdr:rowOff>101160</xdr:rowOff>
    </xdr:to>
    <xdr:graphicFrame>
      <xdr:nvGraphicFramePr>
        <xdr:cNvPr id="5" name="Gráfico 7"/>
        <xdr:cNvGraphicFramePr/>
      </xdr:nvGraphicFramePr>
      <xdr:xfrm>
        <a:off x="25756560" y="3352680"/>
        <a:ext cx="461052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29</xdr:col>
      <xdr:colOff>622440</xdr:colOff>
      <xdr:row>15</xdr:row>
      <xdr:rowOff>190440</xdr:rowOff>
    </xdr:from>
    <xdr:to>
      <xdr:col>34</xdr:col>
      <xdr:colOff>266400</xdr:colOff>
      <xdr:row>29</xdr:row>
      <xdr:rowOff>75960</xdr:rowOff>
    </xdr:to>
    <xdr:graphicFrame>
      <xdr:nvGraphicFramePr>
        <xdr:cNvPr id="6" name="Gráfico 8"/>
        <xdr:cNvGraphicFramePr/>
      </xdr:nvGraphicFramePr>
      <xdr:xfrm>
        <a:off x="30773880" y="3327120"/>
        <a:ext cx="4654080" cy="273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34</xdr:col>
      <xdr:colOff>685800</xdr:colOff>
      <xdr:row>15</xdr:row>
      <xdr:rowOff>177840</xdr:rowOff>
    </xdr:from>
    <xdr:to>
      <xdr:col>39</xdr:col>
      <xdr:colOff>279000</xdr:colOff>
      <xdr:row>29</xdr:row>
      <xdr:rowOff>63360</xdr:rowOff>
    </xdr:to>
    <xdr:graphicFrame>
      <xdr:nvGraphicFramePr>
        <xdr:cNvPr id="7" name="Gráfico 9"/>
        <xdr:cNvGraphicFramePr/>
      </xdr:nvGraphicFramePr>
      <xdr:xfrm>
        <a:off x="35847360" y="3314520"/>
        <a:ext cx="4580640" cy="273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39</xdr:col>
      <xdr:colOff>698400</xdr:colOff>
      <xdr:row>16</xdr:row>
      <xdr:rowOff>0</xdr:rowOff>
    </xdr:from>
    <xdr:to>
      <xdr:col>44</xdr:col>
      <xdr:colOff>240840</xdr:colOff>
      <xdr:row>29</xdr:row>
      <xdr:rowOff>88560</xdr:rowOff>
    </xdr:to>
    <xdr:graphicFrame>
      <xdr:nvGraphicFramePr>
        <xdr:cNvPr id="8" name="Gráfico 10"/>
        <xdr:cNvGraphicFramePr/>
      </xdr:nvGraphicFramePr>
      <xdr:xfrm>
        <a:off x="40847400" y="3340080"/>
        <a:ext cx="452952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44</xdr:col>
      <xdr:colOff>673200</xdr:colOff>
      <xdr:row>15</xdr:row>
      <xdr:rowOff>177840</xdr:rowOff>
    </xdr:from>
    <xdr:to>
      <xdr:col>49</xdr:col>
      <xdr:colOff>215640</xdr:colOff>
      <xdr:row>29</xdr:row>
      <xdr:rowOff>63360</xdr:rowOff>
    </xdr:to>
    <xdr:graphicFrame>
      <xdr:nvGraphicFramePr>
        <xdr:cNvPr id="9" name="Gráfico 11"/>
        <xdr:cNvGraphicFramePr/>
      </xdr:nvGraphicFramePr>
      <xdr:xfrm>
        <a:off x="45809280" y="3314520"/>
        <a:ext cx="4529880" cy="273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49</xdr:col>
      <xdr:colOff>647640</xdr:colOff>
      <xdr:row>15</xdr:row>
      <xdr:rowOff>177840</xdr:rowOff>
    </xdr:from>
    <xdr:to>
      <xdr:col>54</xdr:col>
      <xdr:colOff>190080</xdr:colOff>
      <xdr:row>29</xdr:row>
      <xdr:rowOff>63360</xdr:rowOff>
    </xdr:to>
    <xdr:graphicFrame>
      <xdr:nvGraphicFramePr>
        <xdr:cNvPr id="10" name="Gráfico 12"/>
        <xdr:cNvGraphicFramePr/>
      </xdr:nvGraphicFramePr>
      <xdr:xfrm>
        <a:off x="50771160" y="3314520"/>
        <a:ext cx="4529880" cy="273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55</xdr:col>
      <xdr:colOff>0</xdr:colOff>
      <xdr:row>16</xdr:row>
      <xdr:rowOff>0</xdr:rowOff>
    </xdr:from>
    <xdr:to>
      <xdr:col>59</xdr:col>
      <xdr:colOff>190080</xdr:colOff>
      <xdr:row>29</xdr:row>
      <xdr:rowOff>88560</xdr:rowOff>
    </xdr:to>
    <xdr:graphicFrame>
      <xdr:nvGraphicFramePr>
        <xdr:cNvPr id="11" name="Gráfico 13"/>
        <xdr:cNvGraphicFramePr/>
      </xdr:nvGraphicFramePr>
      <xdr:xfrm>
        <a:off x="56004120" y="3340080"/>
        <a:ext cx="467388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70</xdr:col>
      <xdr:colOff>444600</xdr:colOff>
      <xdr:row>16</xdr:row>
      <xdr:rowOff>76320</xdr:rowOff>
    </xdr:from>
    <xdr:to>
      <xdr:col>75</xdr:col>
      <xdr:colOff>266400</xdr:colOff>
      <xdr:row>29</xdr:row>
      <xdr:rowOff>164880</xdr:rowOff>
    </xdr:to>
    <xdr:graphicFrame>
      <xdr:nvGraphicFramePr>
        <xdr:cNvPr id="12" name="Gráfico 14"/>
        <xdr:cNvGraphicFramePr/>
      </xdr:nvGraphicFramePr>
      <xdr:xfrm>
        <a:off x="72577080" y="3416400"/>
        <a:ext cx="539676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60</xdr:col>
      <xdr:colOff>38160</xdr:colOff>
      <xdr:row>16</xdr:row>
      <xdr:rowOff>63360</xdr:rowOff>
    </xdr:from>
    <xdr:to>
      <xdr:col>64</xdr:col>
      <xdr:colOff>279000</xdr:colOff>
      <xdr:row>29</xdr:row>
      <xdr:rowOff>151920</xdr:rowOff>
    </xdr:to>
    <xdr:graphicFrame>
      <xdr:nvGraphicFramePr>
        <xdr:cNvPr id="13" name="Gráfico 15"/>
        <xdr:cNvGraphicFramePr/>
      </xdr:nvGraphicFramePr>
      <xdr:xfrm>
        <a:off x="61419600" y="3403440"/>
        <a:ext cx="464580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64</xdr:col>
      <xdr:colOff>1092240</xdr:colOff>
      <xdr:row>16</xdr:row>
      <xdr:rowOff>76320</xdr:rowOff>
    </xdr:from>
    <xdr:to>
      <xdr:col>69</xdr:col>
      <xdr:colOff>367920</xdr:colOff>
      <xdr:row>29</xdr:row>
      <xdr:rowOff>164880</xdr:rowOff>
    </xdr:to>
    <xdr:graphicFrame>
      <xdr:nvGraphicFramePr>
        <xdr:cNvPr id="14" name="Gráfico 16"/>
        <xdr:cNvGraphicFramePr/>
      </xdr:nvGraphicFramePr>
      <xdr:xfrm>
        <a:off x="66878640" y="3416400"/>
        <a:ext cx="4728600" cy="272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H277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92" activeCellId="0" sqref="A92"/>
    </sheetView>
  </sheetViews>
  <sheetFormatPr defaultColWidth="10.58203125" defaultRowHeight="16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2" width="22.5"/>
    <col collapsed="false" customWidth="true" hidden="false" outlineLevel="0" max="3" min="3" style="3" width="40.33"/>
    <col collapsed="false" customWidth="true" hidden="false" outlineLevel="0" max="4" min="4" style="4" width="28.34"/>
    <col collapsed="false" customWidth="true" hidden="false" outlineLevel="0" max="5" min="5" style="5" width="26.33"/>
    <col collapsed="false" customWidth="true" hidden="false" outlineLevel="0" max="6" min="6" style="1" width="25.17"/>
    <col collapsed="false" customWidth="true" hidden="false" outlineLevel="0" max="7" min="7" style="1" width="35.5"/>
    <col collapsed="false" customWidth="true" hidden="false" outlineLevel="0" max="8" min="8" style="0" width="22"/>
    <col collapsed="false" customWidth="true" hidden="false" outlineLevel="0" max="9" min="9" style="6" width="91.83"/>
    <col collapsed="false" customWidth="true" hidden="false" outlineLevel="0" max="10" min="10" style="2" width="21.51"/>
    <col collapsed="false" customWidth="true" hidden="false" outlineLevel="0" max="11" min="11" style="0" width="14.67"/>
    <col collapsed="false" customWidth="true" hidden="false" outlineLevel="0" max="13" min="12" style="0" width="45.83"/>
    <col collapsed="false" customWidth="true" hidden="false" outlineLevel="0" max="14" min="14" style="0" width="24.34"/>
    <col collapsed="false" customWidth="true" hidden="false" outlineLevel="0" max="15" min="15" style="0" width="11.5"/>
    <col collapsed="false" customWidth="true" hidden="false" outlineLevel="0" max="16" min="16" style="0" width="16.83"/>
    <col collapsed="false" customWidth="true" hidden="false" outlineLevel="0" max="17" min="17" style="7" width="8"/>
    <col collapsed="false" customWidth="true" hidden="false" outlineLevel="0" max="18" min="18" style="5" width="15.17"/>
    <col collapsed="false" customWidth="true" hidden="false" outlineLevel="0" max="19" min="19" style="2" width="19.83"/>
    <col collapsed="false" customWidth="true" hidden="false" outlineLevel="0" max="20" min="20" style="0" width="32.16"/>
    <col collapsed="false" customWidth="true" hidden="false" outlineLevel="0" max="21" min="21" style="0" width="22.33"/>
    <col collapsed="false" customWidth="true" hidden="false" outlineLevel="0" max="22" min="22" style="0" width="22.66"/>
    <col collapsed="false" customWidth="true" hidden="false" outlineLevel="0" max="24" min="24" style="0" width="26.5"/>
    <col collapsed="false" customWidth="true" hidden="false" outlineLevel="0" max="26" min="26" style="6" width="89.16"/>
    <col collapsed="false" customWidth="true" hidden="false" outlineLevel="0" max="27" min="27" style="2" width="24.17"/>
    <col collapsed="false" customWidth="true" hidden="false" outlineLevel="0" max="28" min="28" style="8" width="10.83"/>
    <col collapsed="false" customWidth="true" hidden="false" outlineLevel="0" max="29" min="29" style="5" width="10.83"/>
    <col collapsed="false" customWidth="true" hidden="false" outlineLevel="0" max="30" min="30" style="2" width="14.16"/>
    <col collapsed="false" customWidth="true" hidden="false" outlineLevel="0" max="31" min="31" style="0" width="43.17"/>
    <col collapsed="false" customWidth="true" hidden="false" outlineLevel="0" max="32" min="32" style="0" width="15"/>
    <col collapsed="false" customWidth="true" hidden="false" outlineLevel="0" max="33" min="33" style="0" width="36.16"/>
    <col collapsed="false" customWidth="true" hidden="false" outlineLevel="0" max="34" min="34" style="0" width="14.83"/>
    <col collapsed="false" customWidth="true" hidden="false" outlineLevel="0" max="35" min="35" style="0" width="32.16"/>
    <col collapsed="false" customWidth="true" hidden="false" outlineLevel="0" max="37" min="37" style="0" width="61.83"/>
    <col collapsed="false" customWidth="true" hidden="false" outlineLevel="0" max="38" min="38" style="0" width="26.83"/>
    <col collapsed="false" customWidth="true" hidden="false" outlineLevel="0" max="39" min="39" style="8" width="10.83"/>
    <col collapsed="false" customWidth="true" hidden="false" outlineLevel="0" max="40" min="40" style="0" width="15.17"/>
    <col collapsed="false" customWidth="true" hidden="false" outlineLevel="0" max="41" min="41" style="0" width="19.83"/>
    <col collapsed="false" customWidth="true" hidden="false" outlineLevel="0" max="42" min="42" style="0" width="32.16"/>
    <col collapsed="false" customWidth="true" hidden="false" outlineLevel="0" max="43" min="43" style="0" width="22.33"/>
    <col collapsed="false" customWidth="true" hidden="false" outlineLevel="0" max="44" min="44" style="0" width="22.66"/>
    <col collapsed="false" customWidth="true" hidden="false" outlineLevel="0" max="46" min="46" style="0" width="26.66"/>
    <col collapsed="false" customWidth="true" hidden="false" outlineLevel="0" max="48" min="48" style="6" width="62.17"/>
    <col collapsed="false" customWidth="true" hidden="false" outlineLevel="0" max="49" min="49" style="2" width="22.17"/>
    <col collapsed="false" customWidth="true" hidden="false" outlineLevel="0" max="50" min="50" style="8" width="10.83"/>
    <col collapsed="false" customWidth="true" hidden="false" outlineLevel="0" max="51" min="51" style="0" width="15.17"/>
    <col collapsed="false" customWidth="true" hidden="false" outlineLevel="0" max="52" min="52" style="0" width="19.83"/>
    <col collapsed="false" customWidth="true" hidden="false" outlineLevel="0" max="53" min="53" style="0" width="32.16"/>
    <col collapsed="false" customWidth="true" hidden="false" outlineLevel="0" max="54" min="54" style="0" width="22.33"/>
    <col collapsed="false" customWidth="true" hidden="false" outlineLevel="0" max="55" min="55" style="0" width="22.66"/>
    <col collapsed="false" customWidth="true" hidden="false" outlineLevel="0" max="57" min="57" style="0" width="26.66"/>
    <col collapsed="false" customWidth="true" hidden="false" outlineLevel="0" max="59" min="59" style="6" width="52.83"/>
    <col collapsed="false" customWidth="true" hidden="false" outlineLevel="0" max="60" min="60" style="2" width="21"/>
    <col collapsed="false" customWidth="true" hidden="false" outlineLevel="0" max="61" min="61" style="8" width="10.83"/>
    <col collapsed="false" customWidth="true" hidden="false" outlineLevel="0" max="62" min="62" style="0" width="15.17"/>
    <col collapsed="false" customWidth="true" hidden="false" outlineLevel="0" max="63" min="63" style="0" width="19.83"/>
    <col collapsed="false" customWidth="true" hidden="false" outlineLevel="0" max="64" min="64" style="0" width="17.66"/>
    <col collapsed="false" customWidth="true" hidden="false" outlineLevel="0" max="65" min="65" style="0" width="22.33"/>
    <col collapsed="false" customWidth="true" hidden="false" outlineLevel="0" max="66" min="66" style="0" width="22.66"/>
    <col collapsed="false" customWidth="true" hidden="false" outlineLevel="0" max="68" min="68" style="0" width="26.66"/>
    <col collapsed="false" customWidth="true" hidden="false" outlineLevel="0" max="70" min="70" style="6" width="52.83"/>
    <col collapsed="false" customWidth="true" hidden="false" outlineLevel="0" max="71" min="71" style="2" width="21.51"/>
    <col collapsed="false" customWidth="true" hidden="false" outlineLevel="0" max="72" min="72" style="8" width="10.83"/>
    <col collapsed="false" customWidth="true" hidden="false" outlineLevel="0" max="73" min="73" style="0" width="15.17"/>
    <col collapsed="false" customWidth="true" hidden="false" outlineLevel="0" max="74" min="74" style="0" width="19.83"/>
    <col collapsed="false" customWidth="true" hidden="false" outlineLevel="0" max="75" min="75" style="0" width="32.16"/>
    <col collapsed="false" customWidth="true" hidden="false" outlineLevel="0" max="76" min="76" style="0" width="22.33"/>
    <col collapsed="false" customWidth="true" hidden="false" outlineLevel="0" max="77" min="77" style="0" width="22.66"/>
    <col collapsed="false" customWidth="true" hidden="false" outlineLevel="0" max="79" min="79" style="0" width="26.66"/>
    <col collapsed="false" customWidth="true" hidden="false" outlineLevel="0" max="81" min="81" style="6" width="52.83"/>
    <col collapsed="false" customWidth="true" hidden="false" outlineLevel="0" max="82" min="82" style="2" width="25.17"/>
    <col collapsed="false" customWidth="true" hidden="false" outlineLevel="0" max="83" min="83" style="8" width="10.83"/>
    <col collapsed="false" customWidth="true" hidden="false" outlineLevel="0" max="85" min="85" style="0" width="17.5"/>
    <col collapsed="false" customWidth="true" hidden="false" outlineLevel="0" max="87" min="86" style="0" width="40.17"/>
    <col collapsed="false" customWidth="true" hidden="false" outlineLevel="0" max="88" min="88" style="0" width="11.66"/>
    <col collapsed="false" customWidth="true" hidden="false" outlineLevel="0" max="90" min="90" style="0" width="26.66"/>
    <col collapsed="false" customWidth="true" hidden="false" outlineLevel="0" max="92" min="92" style="0" width="35.66"/>
    <col collapsed="false" customWidth="true" hidden="false" outlineLevel="0" max="93" min="93" style="0" width="17.66"/>
    <col collapsed="false" customWidth="true" hidden="false" outlineLevel="0" max="94" min="94" style="8" width="10.83"/>
    <col collapsed="false" customWidth="true" hidden="false" outlineLevel="0" max="96" min="96" style="0" width="18.17"/>
    <col collapsed="false" customWidth="true" hidden="false" outlineLevel="0" max="97" min="97" style="0" width="21.33"/>
    <col collapsed="false" customWidth="true" hidden="false" outlineLevel="0" max="98" min="98" style="0" width="12.51"/>
    <col collapsed="false" customWidth="true" hidden="false" outlineLevel="0" max="101" min="101" style="0" width="26.66"/>
    <col collapsed="false" customWidth="true" hidden="false" outlineLevel="0" max="103" min="103" style="0" width="43.17"/>
    <col collapsed="false" customWidth="true" hidden="false" outlineLevel="0" max="104" min="104" style="0" width="18.5"/>
    <col collapsed="false" customWidth="true" hidden="false" outlineLevel="0" max="105" min="105" style="8" width="10.83"/>
    <col collapsed="false" customWidth="true" hidden="false" outlineLevel="0" max="106" min="106" style="0" width="15.17"/>
    <col collapsed="false" customWidth="true" hidden="false" outlineLevel="0" max="107" min="107" style="0" width="19.83"/>
    <col collapsed="false" customWidth="true" hidden="false" outlineLevel="0" max="108" min="108" style="0" width="32.16"/>
    <col collapsed="false" customWidth="true" hidden="false" outlineLevel="0" max="109" min="109" style="0" width="22.33"/>
    <col collapsed="false" customWidth="true" hidden="false" outlineLevel="0" max="110" min="110" style="0" width="22.66"/>
    <col collapsed="false" customWidth="true" hidden="false" outlineLevel="0" max="112" min="112" style="0" width="26.66"/>
    <col collapsed="false" customWidth="true" hidden="false" outlineLevel="0" max="114" min="114" style="6" width="56.17"/>
    <col collapsed="false" customWidth="true" hidden="false" outlineLevel="0" max="115" min="115" style="2" width="16.66"/>
    <col collapsed="false" customWidth="true" hidden="false" outlineLevel="0" max="116" min="116" style="8" width="10.83"/>
    <col collapsed="false" customWidth="true" hidden="false" outlineLevel="0" max="120" min="120" style="0" width="14.83"/>
    <col collapsed="false" customWidth="true" hidden="false" outlineLevel="0" max="123" min="123" style="0" width="26.66"/>
    <col collapsed="false" customWidth="true" hidden="false" outlineLevel="0" max="125" min="125" style="0" width="56.17"/>
    <col collapsed="false" customWidth="true" hidden="false" outlineLevel="0" max="126" min="126" style="0" width="12.51"/>
    <col collapsed="false" customWidth="true" hidden="false" outlineLevel="0" max="127" min="127" style="7" width="10.83"/>
    <col collapsed="false" customWidth="true" hidden="false" outlineLevel="0" max="134" min="134" style="0" width="31"/>
    <col collapsed="false" customWidth="true" hidden="false" outlineLevel="0" max="136" min="136" style="0" width="57.83"/>
    <col collapsed="false" customWidth="true" hidden="false" outlineLevel="0" max="137" min="137" style="0" width="38.66"/>
    <col collapsed="false" customWidth="true" hidden="false" outlineLevel="0" max="138" min="138" style="8" width="10.83"/>
  </cols>
  <sheetData>
    <row r="1" s="13" customFormat="true" ht="22" hidden="false" customHeight="true" outlineLevel="0" collapsed="false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1" t="s">
        <v>1</v>
      </c>
      <c r="S1" s="11"/>
      <c r="T1" s="11"/>
      <c r="U1" s="11"/>
      <c r="V1" s="11"/>
      <c r="W1" s="11"/>
      <c r="X1" s="11"/>
      <c r="Y1" s="11"/>
      <c r="Z1" s="11"/>
      <c r="AA1" s="11"/>
      <c r="AB1" s="12"/>
      <c r="AC1" s="11" t="s">
        <v>2</v>
      </c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1" t="s">
        <v>3</v>
      </c>
      <c r="AO1" s="11"/>
      <c r="AP1" s="11"/>
      <c r="AQ1" s="11"/>
      <c r="AR1" s="11"/>
      <c r="AS1" s="11"/>
      <c r="AT1" s="11"/>
      <c r="AU1" s="11"/>
      <c r="AV1" s="11"/>
      <c r="AW1" s="11"/>
      <c r="AX1" s="12"/>
      <c r="AY1" s="11" t="s">
        <v>4</v>
      </c>
      <c r="AZ1" s="11"/>
      <c r="BA1" s="11"/>
      <c r="BB1" s="11"/>
      <c r="BC1" s="11"/>
      <c r="BD1" s="11"/>
      <c r="BE1" s="11"/>
      <c r="BF1" s="11"/>
      <c r="BG1" s="11"/>
      <c r="BH1" s="11"/>
      <c r="BI1" s="12"/>
      <c r="BJ1" s="11" t="s">
        <v>5</v>
      </c>
      <c r="BK1" s="11"/>
      <c r="BL1" s="11"/>
      <c r="BM1" s="11"/>
      <c r="BN1" s="11"/>
      <c r="BO1" s="11"/>
      <c r="BP1" s="11"/>
      <c r="BQ1" s="11"/>
      <c r="BR1" s="11"/>
      <c r="BS1" s="11"/>
      <c r="BT1" s="12"/>
      <c r="BU1" s="11" t="s">
        <v>6</v>
      </c>
      <c r="BV1" s="11"/>
      <c r="BW1" s="11"/>
      <c r="BX1" s="11"/>
      <c r="BY1" s="11"/>
      <c r="BZ1" s="11"/>
      <c r="CA1" s="11"/>
      <c r="CB1" s="11"/>
      <c r="CC1" s="11"/>
      <c r="CD1" s="11"/>
      <c r="CE1" s="12"/>
      <c r="CF1" s="11" t="s">
        <v>7</v>
      </c>
      <c r="CG1" s="11"/>
      <c r="CH1" s="11"/>
      <c r="CI1" s="11"/>
      <c r="CJ1" s="11"/>
      <c r="CK1" s="11"/>
      <c r="CL1" s="11"/>
      <c r="CM1" s="11"/>
      <c r="CN1" s="11"/>
      <c r="CO1" s="11"/>
      <c r="CP1" s="12"/>
      <c r="CQ1" s="11" t="s">
        <v>8</v>
      </c>
      <c r="CR1" s="11"/>
      <c r="CS1" s="11"/>
      <c r="CT1" s="11"/>
      <c r="CU1" s="11"/>
      <c r="CV1" s="11"/>
      <c r="CW1" s="11"/>
      <c r="CX1" s="11"/>
      <c r="CY1" s="11"/>
      <c r="CZ1" s="11"/>
      <c r="DA1" s="12"/>
      <c r="DB1" s="11" t="s">
        <v>9</v>
      </c>
      <c r="DC1" s="11"/>
      <c r="DD1" s="11"/>
      <c r="DE1" s="11"/>
      <c r="DF1" s="11"/>
      <c r="DG1" s="11"/>
      <c r="DH1" s="11"/>
      <c r="DI1" s="11"/>
      <c r="DJ1" s="11"/>
      <c r="DK1" s="11"/>
      <c r="DL1" s="12"/>
      <c r="DM1" s="11" t="s">
        <v>10</v>
      </c>
      <c r="DN1" s="11"/>
      <c r="DO1" s="11"/>
      <c r="DP1" s="11"/>
      <c r="DQ1" s="11"/>
      <c r="DR1" s="11"/>
      <c r="DS1" s="11"/>
      <c r="DT1" s="11"/>
      <c r="DU1" s="11"/>
      <c r="DV1" s="11"/>
      <c r="DW1" s="10"/>
      <c r="DX1" s="11" t="s">
        <v>11</v>
      </c>
      <c r="DY1" s="11"/>
      <c r="DZ1" s="11"/>
      <c r="EA1" s="11"/>
      <c r="EB1" s="11"/>
      <c r="EC1" s="11"/>
      <c r="ED1" s="11"/>
      <c r="EE1" s="11"/>
      <c r="EF1" s="11"/>
      <c r="EG1" s="11"/>
      <c r="EH1" s="12"/>
    </row>
    <row r="2" customFormat="false" ht="17" hidden="false" customHeight="true" outlineLevel="0" collapsed="false">
      <c r="A2" s="14" t="s">
        <v>12</v>
      </c>
      <c r="B2" s="14"/>
      <c r="C2" s="14"/>
      <c r="D2" s="14"/>
      <c r="E2" s="14"/>
      <c r="F2" s="14"/>
      <c r="G2" s="14"/>
      <c r="H2" s="15"/>
      <c r="I2" s="16" t="s">
        <v>13</v>
      </c>
      <c r="J2" s="16"/>
      <c r="L2" s="17" t="s">
        <v>14</v>
      </c>
      <c r="M2" s="17"/>
      <c r="N2" s="17"/>
      <c r="O2" s="17"/>
      <c r="P2" s="17"/>
      <c r="R2" s="18" t="s">
        <v>15</v>
      </c>
      <c r="S2" s="18"/>
      <c r="T2" s="18"/>
      <c r="U2" s="18"/>
      <c r="V2" s="18"/>
      <c r="W2" s="18"/>
      <c r="X2" s="18"/>
      <c r="Y2" s="18"/>
      <c r="Z2" s="18"/>
      <c r="AA2" s="18"/>
      <c r="AC2" s="18" t="s">
        <v>16</v>
      </c>
      <c r="AD2" s="18"/>
      <c r="AE2" s="18"/>
      <c r="AF2" s="18"/>
      <c r="AG2" s="18"/>
      <c r="AH2" s="18"/>
      <c r="AI2" s="18"/>
      <c r="AJ2" s="18"/>
      <c r="AK2" s="18"/>
      <c r="AL2" s="18"/>
      <c r="AN2" s="18" t="s">
        <v>17</v>
      </c>
      <c r="AO2" s="18"/>
      <c r="AP2" s="18"/>
      <c r="AQ2" s="18"/>
      <c r="AR2" s="18"/>
      <c r="AS2" s="18"/>
      <c r="AT2" s="18"/>
      <c r="AU2" s="18"/>
      <c r="AV2" s="18"/>
      <c r="AW2" s="18"/>
      <c r="AY2" s="18" t="s">
        <v>18</v>
      </c>
      <c r="AZ2" s="18"/>
      <c r="BA2" s="18"/>
      <c r="BB2" s="18"/>
      <c r="BC2" s="18"/>
      <c r="BD2" s="18"/>
      <c r="BE2" s="18"/>
      <c r="BF2" s="18"/>
      <c r="BG2" s="18"/>
      <c r="BH2" s="18"/>
      <c r="BJ2" s="18" t="s">
        <v>19</v>
      </c>
      <c r="BK2" s="18"/>
      <c r="BL2" s="18"/>
      <c r="BM2" s="18"/>
      <c r="BN2" s="18"/>
      <c r="BO2" s="18"/>
      <c r="BP2" s="18"/>
      <c r="BQ2" s="18"/>
      <c r="BR2" s="18"/>
      <c r="BS2" s="18"/>
      <c r="BU2" s="18" t="s">
        <v>20</v>
      </c>
      <c r="BV2" s="18"/>
      <c r="BW2" s="18"/>
      <c r="BX2" s="18"/>
      <c r="BY2" s="18"/>
      <c r="BZ2" s="18"/>
      <c r="CA2" s="18"/>
      <c r="CB2" s="18"/>
      <c r="CC2" s="18"/>
      <c r="CD2" s="18"/>
      <c r="CF2" s="18" t="s">
        <v>20</v>
      </c>
      <c r="CG2" s="18"/>
      <c r="CH2" s="18"/>
      <c r="CI2" s="18"/>
      <c r="CJ2" s="18"/>
      <c r="CK2" s="18"/>
      <c r="CL2" s="18"/>
      <c r="CM2" s="18"/>
      <c r="CN2" s="18"/>
      <c r="CO2" s="18"/>
      <c r="CQ2" s="18" t="s">
        <v>20</v>
      </c>
      <c r="CR2" s="18"/>
      <c r="CS2" s="18"/>
      <c r="CT2" s="18"/>
      <c r="CU2" s="18"/>
      <c r="CV2" s="18"/>
      <c r="CW2" s="18"/>
      <c r="CX2" s="18"/>
      <c r="CY2" s="18"/>
      <c r="CZ2" s="18"/>
      <c r="DB2" s="19" t="s">
        <v>21</v>
      </c>
      <c r="DC2" s="19"/>
      <c r="DD2" s="19"/>
      <c r="DE2" s="19"/>
      <c r="DF2" s="19"/>
      <c r="DG2" s="19"/>
      <c r="DH2" s="19"/>
      <c r="DI2" s="19"/>
      <c r="DJ2" s="19"/>
      <c r="DK2" s="19"/>
      <c r="DM2" s="19" t="s">
        <v>22</v>
      </c>
      <c r="DN2" s="19"/>
      <c r="DO2" s="19"/>
      <c r="DP2" s="19"/>
      <c r="DQ2" s="19"/>
      <c r="DR2" s="19"/>
      <c r="DS2" s="19"/>
      <c r="DT2" s="19"/>
      <c r="DU2" s="19"/>
      <c r="DV2" s="19"/>
      <c r="DX2" s="19" t="s">
        <v>23</v>
      </c>
      <c r="DY2" s="19"/>
      <c r="DZ2" s="19"/>
      <c r="EA2" s="19"/>
      <c r="EB2" s="19"/>
      <c r="EC2" s="19"/>
      <c r="ED2" s="19"/>
      <c r="EE2" s="19"/>
      <c r="EF2" s="19"/>
      <c r="EG2" s="19"/>
    </row>
    <row r="3" customFormat="false" ht="17" hidden="false" customHeight="true" outlineLevel="0" collapsed="false">
      <c r="A3" s="20" t="s">
        <v>24</v>
      </c>
      <c r="B3" s="21" t="s">
        <v>25</v>
      </c>
      <c r="C3" s="22" t="s">
        <v>26</v>
      </c>
      <c r="D3" s="23" t="s">
        <v>27</v>
      </c>
      <c r="E3" s="24" t="s">
        <v>28</v>
      </c>
      <c r="F3" s="20" t="s">
        <v>29</v>
      </c>
      <c r="G3" s="20" t="s">
        <v>30</v>
      </c>
      <c r="H3" s="25"/>
      <c r="I3" s="26" t="s">
        <v>31</v>
      </c>
      <c r="J3" s="27" t="s">
        <v>32</v>
      </c>
      <c r="L3" s="20" t="s">
        <v>33</v>
      </c>
      <c r="M3" s="20" t="s">
        <v>34</v>
      </c>
      <c r="N3" s="20" t="s">
        <v>35</v>
      </c>
      <c r="O3" s="20" t="s">
        <v>36</v>
      </c>
      <c r="P3" s="21" t="s">
        <v>37</v>
      </c>
      <c r="Q3" s="28"/>
      <c r="R3" s="29" t="s">
        <v>38</v>
      </c>
      <c r="S3" s="29"/>
      <c r="T3" s="29"/>
      <c r="U3" s="29"/>
      <c r="V3" s="29"/>
      <c r="W3" s="29"/>
      <c r="X3" s="29"/>
      <c r="Z3" s="30" t="s">
        <v>39</v>
      </c>
      <c r="AA3" s="30"/>
      <c r="AC3" s="29" t="s">
        <v>38</v>
      </c>
      <c r="AD3" s="29"/>
      <c r="AE3" s="29"/>
      <c r="AF3" s="29"/>
      <c r="AG3" s="29"/>
      <c r="AH3" s="29"/>
      <c r="AI3" s="29"/>
      <c r="AK3" s="30" t="s">
        <v>40</v>
      </c>
      <c r="AL3" s="30"/>
      <c r="AN3" s="29" t="s">
        <v>38</v>
      </c>
      <c r="AO3" s="29"/>
      <c r="AP3" s="29"/>
      <c r="AQ3" s="29"/>
      <c r="AR3" s="29"/>
      <c r="AS3" s="29"/>
      <c r="AT3" s="29"/>
      <c r="AV3" s="30" t="s">
        <v>40</v>
      </c>
      <c r="AW3" s="30"/>
      <c r="AY3" s="29" t="s">
        <v>38</v>
      </c>
      <c r="AZ3" s="29"/>
      <c r="BA3" s="29"/>
      <c r="BB3" s="29"/>
      <c r="BC3" s="29"/>
      <c r="BD3" s="29"/>
      <c r="BE3" s="29"/>
      <c r="BG3" s="30" t="s">
        <v>40</v>
      </c>
      <c r="BH3" s="30"/>
      <c r="BJ3" s="29" t="s">
        <v>38</v>
      </c>
      <c r="BK3" s="29"/>
      <c r="BL3" s="29"/>
      <c r="BM3" s="29"/>
      <c r="BN3" s="29"/>
      <c r="BO3" s="29"/>
      <c r="BP3" s="29"/>
      <c r="BR3" s="30" t="s">
        <v>40</v>
      </c>
      <c r="BS3" s="30"/>
      <c r="BU3" s="29" t="s">
        <v>38</v>
      </c>
      <c r="BV3" s="29"/>
      <c r="BW3" s="29"/>
      <c r="BX3" s="29"/>
      <c r="BY3" s="29"/>
      <c r="BZ3" s="29"/>
      <c r="CA3" s="29"/>
      <c r="CC3" s="30" t="s">
        <v>40</v>
      </c>
      <c r="CD3" s="30"/>
      <c r="CF3" s="29" t="s">
        <v>38</v>
      </c>
      <c r="CG3" s="29"/>
      <c r="CH3" s="29"/>
      <c r="CI3" s="29"/>
      <c r="CJ3" s="29"/>
      <c r="CK3" s="29"/>
      <c r="CL3" s="29"/>
      <c r="CN3" s="30" t="s">
        <v>40</v>
      </c>
      <c r="CO3" s="30"/>
      <c r="CQ3" s="29" t="s">
        <v>38</v>
      </c>
      <c r="CR3" s="29"/>
      <c r="CS3" s="29"/>
      <c r="CT3" s="29"/>
      <c r="CU3" s="29"/>
      <c r="CV3" s="29"/>
      <c r="CW3" s="29"/>
      <c r="CY3" s="30" t="s">
        <v>40</v>
      </c>
      <c r="CZ3" s="30"/>
      <c r="DB3" s="29" t="s">
        <v>38</v>
      </c>
      <c r="DC3" s="29"/>
      <c r="DD3" s="29"/>
      <c r="DE3" s="29"/>
      <c r="DF3" s="29"/>
      <c r="DG3" s="29"/>
      <c r="DH3" s="29"/>
      <c r="DJ3" s="30" t="s">
        <v>40</v>
      </c>
      <c r="DK3" s="30"/>
      <c r="DM3" s="29" t="s">
        <v>38</v>
      </c>
      <c r="DN3" s="29"/>
      <c r="DO3" s="29"/>
      <c r="DP3" s="29"/>
      <c r="DQ3" s="29"/>
      <c r="DR3" s="29"/>
      <c r="DS3" s="29"/>
      <c r="DU3" s="30" t="s">
        <v>40</v>
      </c>
      <c r="DV3" s="30"/>
      <c r="DX3" s="29" t="s">
        <v>38</v>
      </c>
      <c r="DY3" s="29"/>
      <c r="DZ3" s="29"/>
      <c r="EA3" s="29"/>
      <c r="EB3" s="29"/>
      <c r="EC3" s="29"/>
      <c r="ED3" s="29"/>
      <c r="EF3" s="30" t="s">
        <v>40</v>
      </c>
      <c r="EG3" s="30"/>
    </row>
    <row r="4" customFormat="false" ht="22" hidden="false" customHeight="true" outlineLevel="0" collapsed="false">
      <c r="A4" s="20" t="s">
        <v>41</v>
      </c>
      <c r="B4" s="20"/>
      <c r="C4" s="20"/>
      <c r="D4" s="20"/>
      <c r="E4" s="20"/>
      <c r="F4" s="20"/>
      <c r="G4" s="20"/>
      <c r="H4" s="31"/>
      <c r="I4" s="32" t="s">
        <v>42</v>
      </c>
      <c r="J4" s="32"/>
      <c r="L4" s="33" t="s">
        <v>43</v>
      </c>
      <c r="M4" s="34" t="s">
        <v>44</v>
      </c>
      <c r="N4" s="34" t="s">
        <v>45</v>
      </c>
      <c r="O4" s="35" t="n">
        <v>44027</v>
      </c>
      <c r="P4" s="36" t="n">
        <v>26923</v>
      </c>
      <c r="Q4" s="28"/>
      <c r="R4" s="37" t="s">
        <v>46</v>
      </c>
      <c r="S4" s="21" t="s">
        <v>32</v>
      </c>
      <c r="T4" s="24" t="s">
        <v>26</v>
      </c>
      <c r="U4" s="38" t="s">
        <v>27</v>
      </c>
      <c r="V4" s="39" t="s">
        <v>28</v>
      </c>
      <c r="W4" s="39" t="s">
        <v>29</v>
      </c>
      <c r="X4" s="40" t="s">
        <v>30</v>
      </c>
      <c r="Z4" s="26" t="s">
        <v>31</v>
      </c>
      <c r="AA4" s="27" t="s">
        <v>32</v>
      </c>
      <c r="AC4" s="24" t="s">
        <v>46</v>
      </c>
      <c r="AD4" s="21" t="s">
        <v>32</v>
      </c>
      <c r="AE4" s="24" t="s">
        <v>26</v>
      </c>
      <c r="AF4" s="38" t="s">
        <v>27</v>
      </c>
      <c r="AG4" s="24" t="s">
        <v>28</v>
      </c>
      <c r="AH4" s="24" t="s">
        <v>29</v>
      </c>
      <c r="AI4" s="41" t="s">
        <v>30</v>
      </c>
      <c r="AK4" s="26" t="s">
        <v>31</v>
      </c>
      <c r="AL4" s="27" t="s">
        <v>32</v>
      </c>
      <c r="AN4" s="20" t="s">
        <v>46</v>
      </c>
      <c r="AO4" s="21" t="s">
        <v>32</v>
      </c>
      <c r="AP4" s="24" t="s">
        <v>26</v>
      </c>
      <c r="AQ4" s="38" t="s">
        <v>27</v>
      </c>
      <c r="AR4" s="39" t="s">
        <v>28</v>
      </c>
      <c r="AS4" s="39" t="s">
        <v>29</v>
      </c>
      <c r="AT4" s="40" t="s">
        <v>30</v>
      </c>
      <c r="AV4" s="26" t="s">
        <v>31</v>
      </c>
      <c r="AW4" s="27" t="s">
        <v>32</v>
      </c>
      <c r="AY4" s="20" t="s">
        <v>46</v>
      </c>
      <c r="AZ4" s="21" t="s">
        <v>32</v>
      </c>
      <c r="BA4" s="24" t="s">
        <v>26</v>
      </c>
      <c r="BB4" s="38" t="s">
        <v>27</v>
      </c>
      <c r="BC4" s="39" t="s">
        <v>28</v>
      </c>
      <c r="BD4" s="39" t="s">
        <v>29</v>
      </c>
      <c r="BE4" s="40" t="s">
        <v>30</v>
      </c>
      <c r="BG4" s="26" t="s">
        <v>31</v>
      </c>
      <c r="BH4" s="27" t="s">
        <v>32</v>
      </c>
      <c r="BJ4" s="20" t="s">
        <v>46</v>
      </c>
      <c r="BK4" s="21" t="s">
        <v>32</v>
      </c>
      <c r="BL4" s="24" t="s">
        <v>26</v>
      </c>
      <c r="BM4" s="38" t="s">
        <v>27</v>
      </c>
      <c r="BN4" s="39" t="s">
        <v>28</v>
      </c>
      <c r="BO4" s="39" t="s">
        <v>29</v>
      </c>
      <c r="BP4" s="40" t="s">
        <v>30</v>
      </c>
      <c r="BR4" s="26" t="s">
        <v>31</v>
      </c>
      <c r="BS4" s="27" t="s">
        <v>32</v>
      </c>
      <c r="BU4" s="20" t="s">
        <v>46</v>
      </c>
      <c r="BV4" s="21" t="s">
        <v>32</v>
      </c>
      <c r="BW4" s="24" t="s">
        <v>26</v>
      </c>
      <c r="BX4" s="38" t="s">
        <v>27</v>
      </c>
      <c r="BY4" s="39" t="s">
        <v>28</v>
      </c>
      <c r="BZ4" s="39" t="s">
        <v>29</v>
      </c>
      <c r="CA4" s="40" t="s">
        <v>30</v>
      </c>
      <c r="CC4" s="26" t="s">
        <v>31</v>
      </c>
      <c r="CD4" s="27" t="s">
        <v>32</v>
      </c>
      <c r="CF4" s="20" t="s">
        <v>46</v>
      </c>
      <c r="CG4" s="21" t="s">
        <v>32</v>
      </c>
      <c r="CH4" s="24" t="s">
        <v>26</v>
      </c>
      <c r="CI4" s="38" t="s">
        <v>27</v>
      </c>
      <c r="CJ4" s="39" t="s">
        <v>28</v>
      </c>
      <c r="CK4" s="39" t="s">
        <v>29</v>
      </c>
      <c r="CL4" s="40" t="s">
        <v>30</v>
      </c>
      <c r="CN4" s="26" t="s">
        <v>31</v>
      </c>
      <c r="CO4" s="27" t="s">
        <v>32</v>
      </c>
      <c r="CQ4" s="20" t="s">
        <v>46</v>
      </c>
      <c r="CR4" s="21" t="s">
        <v>32</v>
      </c>
      <c r="CS4" s="24" t="s">
        <v>26</v>
      </c>
      <c r="CT4" s="38" t="s">
        <v>27</v>
      </c>
      <c r="CU4" s="39" t="s">
        <v>28</v>
      </c>
      <c r="CV4" s="39" t="s">
        <v>29</v>
      </c>
      <c r="CW4" s="40" t="s">
        <v>30</v>
      </c>
      <c r="CY4" s="26" t="s">
        <v>31</v>
      </c>
      <c r="CZ4" s="27" t="s">
        <v>32</v>
      </c>
      <c r="DB4" s="20" t="s">
        <v>46</v>
      </c>
      <c r="DC4" s="21" t="s">
        <v>32</v>
      </c>
      <c r="DD4" s="24" t="s">
        <v>26</v>
      </c>
      <c r="DE4" s="38" t="s">
        <v>27</v>
      </c>
      <c r="DF4" s="39" t="s">
        <v>28</v>
      </c>
      <c r="DG4" s="39" t="s">
        <v>29</v>
      </c>
      <c r="DH4" s="40" t="s">
        <v>30</v>
      </c>
      <c r="DJ4" s="26" t="s">
        <v>31</v>
      </c>
      <c r="DK4" s="27" t="s">
        <v>32</v>
      </c>
      <c r="DM4" s="20" t="s">
        <v>46</v>
      </c>
      <c r="DN4" s="21" t="s">
        <v>32</v>
      </c>
      <c r="DO4" s="24" t="s">
        <v>26</v>
      </c>
      <c r="DP4" s="38" t="s">
        <v>27</v>
      </c>
      <c r="DQ4" s="39" t="s">
        <v>28</v>
      </c>
      <c r="DR4" s="39" t="s">
        <v>29</v>
      </c>
      <c r="DS4" s="40" t="s">
        <v>30</v>
      </c>
      <c r="DU4" s="26" t="s">
        <v>31</v>
      </c>
      <c r="DV4" s="42" t="s">
        <v>32</v>
      </c>
      <c r="DX4" s="38" t="s">
        <v>46</v>
      </c>
      <c r="DY4" s="21" t="s">
        <v>32</v>
      </c>
      <c r="DZ4" s="24" t="s">
        <v>26</v>
      </c>
      <c r="EA4" s="38" t="s">
        <v>27</v>
      </c>
      <c r="EB4" s="39" t="s">
        <v>28</v>
      </c>
      <c r="EC4" s="39" t="s">
        <v>29</v>
      </c>
      <c r="ED4" s="40" t="s">
        <v>30</v>
      </c>
      <c r="EF4" s="26" t="s">
        <v>31</v>
      </c>
      <c r="EG4" s="27" t="s">
        <v>32</v>
      </c>
    </row>
    <row r="5" customFormat="false" ht="20" hidden="false" customHeight="false" outlineLevel="0" collapsed="false">
      <c r="A5" s="43" t="n">
        <v>44013</v>
      </c>
      <c r="B5" s="44" t="n">
        <v>71400</v>
      </c>
      <c r="C5" s="45" t="s">
        <v>47</v>
      </c>
      <c r="D5" s="45" t="s">
        <v>48</v>
      </c>
      <c r="E5" s="45" t="s">
        <v>49</v>
      </c>
      <c r="F5" s="46" t="n">
        <v>3</v>
      </c>
      <c r="G5" s="47"/>
      <c r="I5" s="48" t="s">
        <v>50</v>
      </c>
      <c r="J5" s="48"/>
      <c r="L5" s="33" t="s">
        <v>51</v>
      </c>
      <c r="M5" s="34"/>
      <c r="N5" s="34" t="s">
        <v>45</v>
      </c>
      <c r="O5" s="35" t="n">
        <v>44027</v>
      </c>
      <c r="P5" s="36" t="n">
        <v>5200</v>
      </c>
      <c r="Q5" s="28"/>
      <c r="R5" s="49" t="s">
        <v>52</v>
      </c>
      <c r="S5" s="49"/>
      <c r="T5" s="49"/>
      <c r="U5" s="49"/>
      <c r="V5" s="49"/>
      <c r="W5" s="49"/>
      <c r="X5" s="49"/>
      <c r="Z5" s="32" t="s">
        <v>42</v>
      </c>
      <c r="AA5" s="32"/>
      <c r="AC5" s="20" t="s">
        <v>53</v>
      </c>
      <c r="AD5" s="20"/>
      <c r="AE5" s="20"/>
      <c r="AF5" s="20"/>
      <c r="AG5" s="20"/>
      <c r="AH5" s="20"/>
      <c r="AI5" s="20"/>
      <c r="AK5" s="32" t="s">
        <v>42</v>
      </c>
      <c r="AL5" s="32"/>
      <c r="AN5" s="20" t="s">
        <v>41</v>
      </c>
      <c r="AO5" s="20"/>
      <c r="AP5" s="20"/>
      <c r="AQ5" s="20"/>
      <c r="AR5" s="20"/>
      <c r="AS5" s="20"/>
      <c r="AT5" s="20"/>
      <c r="AV5" s="50" t="s">
        <v>42</v>
      </c>
      <c r="AW5" s="50"/>
      <c r="AY5" s="49" t="s">
        <v>54</v>
      </c>
      <c r="AZ5" s="49"/>
      <c r="BA5" s="49"/>
      <c r="BB5" s="49"/>
      <c r="BC5" s="49"/>
      <c r="BD5" s="49"/>
      <c r="BE5" s="49"/>
      <c r="BG5" s="32" t="s">
        <v>42</v>
      </c>
      <c r="BH5" s="32"/>
      <c r="BJ5" s="20" t="s">
        <v>55</v>
      </c>
      <c r="BK5" s="20"/>
      <c r="BL5" s="20"/>
      <c r="BM5" s="20"/>
      <c r="BN5" s="20"/>
      <c r="BO5" s="20"/>
      <c r="BP5" s="20"/>
      <c r="BR5" s="32" t="s">
        <v>56</v>
      </c>
      <c r="BS5" s="32"/>
      <c r="BU5" s="20" t="s">
        <v>41</v>
      </c>
      <c r="BV5" s="20"/>
      <c r="BW5" s="20"/>
      <c r="BX5" s="20"/>
      <c r="BY5" s="20"/>
      <c r="BZ5" s="20"/>
      <c r="CA5" s="20"/>
      <c r="CC5" s="32" t="s">
        <v>42</v>
      </c>
      <c r="CD5" s="32"/>
      <c r="CF5" s="20" t="s">
        <v>41</v>
      </c>
      <c r="CG5" s="20"/>
      <c r="CH5" s="20"/>
      <c r="CI5" s="20"/>
      <c r="CJ5" s="20"/>
      <c r="CK5" s="20"/>
      <c r="CL5" s="20"/>
      <c r="CN5" s="50" t="s">
        <v>42</v>
      </c>
      <c r="CO5" s="50"/>
      <c r="CQ5" s="20" t="s">
        <v>41</v>
      </c>
      <c r="CR5" s="20"/>
      <c r="CS5" s="20"/>
      <c r="CT5" s="20"/>
      <c r="CU5" s="20"/>
      <c r="CV5" s="20"/>
      <c r="CW5" s="20"/>
      <c r="CY5" s="50" t="s">
        <v>42</v>
      </c>
      <c r="CZ5" s="50"/>
      <c r="DB5" s="49" t="s">
        <v>54</v>
      </c>
      <c r="DC5" s="49"/>
      <c r="DD5" s="49"/>
      <c r="DE5" s="49"/>
      <c r="DF5" s="49"/>
      <c r="DG5" s="49"/>
      <c r="DH5" s="49"/>
      <c r="DJ5" s="32" t="s">
        <v>57</v>
      </c>
      <c r="DK5" s="32"/>
      <c r="DM5" s="49" t="s">
        <v>54</v>
      </c>
      <c r="DN5" s="49"/>
      <c r="DO5" s="49"/>
      <c r="DP5" s="49"/>
      <c r="DQ5" s="49"/>
      <c r="DR5" s="49"/>
      <c r="DS5" s="49"/>
      <c r="DU5" s="50" t="s">
        <v>57</v>
      </c>
      <c r="DV5" s="50"/>
      <c r="DX5" s="49" t="s">
        <v>54</v>
      </c>
      <c r="DY5" s="49"/>
      <c r="DZ5" s="49"/>
      <c r="EA5" s="49"/>
      <c r="EB5" s="49"/>
      <c r="EC5" s="49"/>
      <c r="ED5" s="49"/>
      <c r="EF5" s="50" t="s">
        <v>57</v>
      </c>
      <c r="EG5" s="50"/>
    </row>
    <row r="6" customFormat="false" ht="20" hidden="false" customHeight="false" outlineLevel="0" collapsed="false">
      <c r="A6" s="51" t="n">
        <v>44023</v>
      </c>
      <c r="B6" s="52" t="n">
        <v>189210</v>
      </c>
      <c r="C6" s="53" t="s">
        <v>58</v>
      </c>
      <c r="D6" s="53" t="s">
        <v>59</v>
      </c>
      <c r="E6" s="53" t="s">
        <v>60</v>
      </c>
      <c r="F6" s="54" t="n">
        <v>3</v>
      </c>
      <c r="G6" s="55"/>
      <c r="I6" s="50" t="s">
        <v>61</v>
      </c>
      <c r="J6" s="50"/>
      <c r="L6" s="33" t="s">
        <v>62</v>
      </c>
      <c r="M6" s="34"/>
      <c r="N6" s="34" t="s">
        <v>45</v>
      </c>
      <c r="O6" s="35" t="n">
        <v>44027</v>
      </c>
      <c r="P6" s="36" t="n">
        <v>5400</v>
      </c>
      <c r="Q6" s="56"/>
      <c r="R6" s="57"/>
      <c r="S6" s="58"/>
      <c r="T6" s="59"/>
      <c r="U6" s="59"/>
      <c r="V6" s="59"/>
      <c r="W6" s="60"/>
      <c r="X6" s="61"/>
      <c r="Z6" s="62" t="s">
        <v>63</v>
      </c>
      <c r="AA6" s="63" t="n">
        <f aca="false">(462150-(10000+10000+10000))/2</f>
        <v>216075</v>
      </c>
      <c r="AC6" s="64"/>
      <c r="AD6" s="58"/>
      <c r="AE6" s="59"/>
      <c r="AF6" s="59"/>
      <c r="AG6" s="59"/>
      <c r="AH6" s="65"/>
      <c r="AI6" s="61"/>
      <c r="AK6" s="66" t="s">
        <v>63</v>
      </c>
      <c r="AL6" s="67" t="n">
        <f aca="false">(600000-160000-150000)/2</f>
        <v>145000</v>
      </c>
      <c r="AN6" s="68"/>
      <c r="AO6" s="69" t="n">
        <v>0</v>
      </c>
      <c r="AP6" s="70"/>
      <c r="AQ6" s="71"/>
      <c r="AR6" s="72"/>
      <c r="AS6" s="73"/>
      <c r="AT6" s="74"/>
      <c r="AV6" s="57" t="s">
        <v>64</v>
      </c>
      <c r="AW6" s="75" t="n">
        <v>0</v>
      </c>
      <c r="AY6" s="76"/>
      <c r="AZ6" s="77"/>
      <c r="BA6" s="78"/>
      <c r="BB6" s="79"/>
      <c r="BC6" s="80"/>
      <c r="BD6" s="81"/>
      <c r="BE6" s="82"/>
      <c r="BG6" s="83" t="s">
        <v>65</v>
      </c>
      <c r="BH6" s="84" t="n">
        <v>407049</v>
      </c>
      <c r="BJ6" s="68"/>
      <c r="BK6" s="85"/>
      <c r="BL6" s="70"/>
      <c r="BM6" s="72"/>
      <c r="BN6" s="72"/>
      <c r="BO6" s="73"/>
      <c r="BP6" s="74"/>
      <c r="BR6" s="57" t="s">
        <v>66</v>
      </c>
      <c r="BS6" s="75" t="n">
        <v>0</v>
      </c>
      <c r="BU6" s="86"/>
      <c r="BV6" s="87"/>
      <c r="BW6" s="88"/>
      <c r="BX6" s="89"/>
      <c r="BY6" s="90"/>
      <c r="BZ6" s="90"/>
      <c r="CA6" s="91"/>
      <c r="CC6" s="57" t="s">
        <v>67</v>
      </c>
      <c r="CD6" s="75" t="n">
        <v>372249</v>
      </c>
      <c r="CF6" s="92"/>
      <c r="CG6" s="93"/>
      <c r="CH6" s="94"/>
      <c r="CI6" s="95"/>
      <c r="CJ6" s="96"/>
      <c r="CK6" s="96"/>
      <c r="CL6" s="97"/>
      <c r="CN6" s="66" t="s">
        <v>68</v>
      </c>
      <c r="CO6" s="98" t="n">
        <v>406378</v>
      </c>
      <c r="CQ6" s="99"/>
      <c r="CR6" s="100"/>
      <c r="CS6" s="101"/>
      <c r="CT6" s="102"/>
      <c r="CU6" s="90"/>
      <c r="CV6" s="90"/>
      <c r="CW6" s="74"/>
      <c r="CY6" s="62" t="s">
        <v>69</v>
      </c>
      <c r="CZ6" s="75" t="n">
        <v>318759</v>
      </c>
      <c r="DB6" s="76"/>
      <c r="DC6" s="103"/>
      <c r="DD6" s="78"/>
      <c r="DE6" s="79"/>
      <c r="DF6" s="80"/>
      <c r="DG6" s="81"/>
      <c r="DH6" s="82"/>
      <c r="DJ6" s="104" t="s">
        <v>70</v>
      </c>
      <c r="DK6" s="75" t="n">
        <f aca="false">1728538-372512</f>
        <v>1356026</v>
      </c>
      <c r="DM6" s="76"/>
      <c r="DN6" s="103"/>
      <c r="DO6" s="78"/>
      <c r="DP6" s="79"/>
      <c r="DQ6" s="80"/>
      <c r="DR6" s="81"/>
      <c r="DS6" s="82"/>
      <c r="DU6" s="62" t="s">
        <v>71</v>
      </c>
      <c r="DV6" s="75" t="n">
        <v>35000</v>
      </c>
      <c r="DW6" s="28"/>
      <c r="DX6" s="76"/>
      <c r="DY6" s="103" t="n">
        <v>0</v>
      </c>
      <c r="DZ6" s="78"/>
      <c r="EA6" s="79"/>
      <c r="EB6" s="80"/>
      <c r="EC6" s="81"/>
      <c r="ED6" s="82"/>
      <c r="EF6" s="62" t="s">
        <v>72</v>
      </c>
      <c r="EG6" s="75" t="n">
        <v>36153</v>
      </c>
    </row>
    <row r="7" customFormat="false" ht="20" hidden="false" customHeight="false" outlineLevel="0" collapsed="false">
      <c r="A7" s="51" t="n">
        <v>44026</v>
      </c>
      <c r="B7" s="105" t="n">
        <v>71400</v>
      </c>
      <c r="C7" s="53" t="s">
        <v>47</v>
      </c>
      <c r="D7" s="53" t="s">
        <v>73</v>
      </c>
      <c r="E7" s="53" t="s">
        <v>49</v>
      </c>
      <c r="F7" s="54" t="n">
        <v>3</v>
      </c>
      <c r="G7" s="55"/>
      <c r="I7" s="106" t="s">
        <v>74</v>
      </c>
      <c r="J7" s="75" t="n">
        <v>329244</v>
      </c>
      <c r="L7" s="107" t="s">
        <v>75</v>
      </c>
      <c r="M7" s="108"/>
      <c r="N7" s="108" t="s">
        <v>45</v>
      </c>
      <c r="O7" s="109" t="n">
        <v>44027</v>
      </c>
      <c r="P7" s="110" t="n">
        <v>900</v>
      </c>
      <c r="Q7" s="56"/>
      <c r="R7" s="111"/>
      <c r="S7" s="112"/>
      <c r="T7" s="34"/>
      <c r="U7" s="34"/>
      <c r="V7" s="34"/>
      <c r="W7" s="113"/>
      <c r="X7" s="114"/>
      <c r="Z7" s="115" t="s">
        <v>76</v>
      </c>
      <c r="AA7" s="116" t="n">
        <f aca="false">207029</f>
        <v>207029</v>
      </c>
      <c r="AC7" s="117"/>
      <c r="AD7" s="112"/>
      <c r="AE7" s="34"/>
      <c r="AF7" s="34"/>
      <c r="AG7" s="34"/>
      <c r="AH7" s="118"/>
      <c r="AI7" s="114"/>
      <c r="AK7" s="50" t="s">
        <v>50</v>
      </c>
      <c r="AL7" s="50"/>
      <c r="AN7" s="119" t="s">
        <v>77</v>
      </c>
      <c r="AO7" s="120" t="n">
        <f aca="false">SUM(AO6:AO6)</f>
        <v>0</v>
      </c>
      <c r="AV7" s="111" t="s">
        <v>78</v>
      </c>
      <c r="AW7" s="116" t="n">
        <v>0</v>
      </c>
      <c r="AY7" s="119" t="s">
        <v>77</v>
      </c>
      <c r="AZ7" s="120" t="n">
        <f aca="false">SUM(AZ6:AZ6)</f>
        <v>0</v>
      </c>
      <c r="BB7" s="121"/>
      <c r="BC7" s="1"/>
      <c r="BD7" s="122"/>
      <c r="BE7" s="1"/>
      <c r="BG7" s="123" t="s">
        <v>79</v>
      </c>
      <c r="BH7" s="124" t="n">
        <v>55058</v>
      </c>
      <c r="BJ7" s="119" t="s">
        <v>77</v>
      </c>
      <c r="BK7" s="120" t="n">
        <f aca="false">SUM(BK6:BK6)</f>
        <v>0</v>
      </c>
      <c r="BR7" s="125" t="s">
        <v>79</v>
      </c>
      <c r="BS7" s="124" t="n">
        <v>55058</v>
      </c>
      <c r="BU7" s="126" t="s">
        <v>80</v>
      </c>
      <c r="BV7" s="127" t="n">
        <f aca="false">+BV6</f>
        <v>0</v>
      </c>
      <c r="CC7" s="123" t="s">
        <v>79</v>
      </c>
      <c r="CD7" s="124" t="n">
        <v>55058</v>
      </c>
      <c r="CF7" s="128" t="s">
        <v>80</v>
      </c>
      <c r="CG7" s="129" t="n">
        <f aca="false">SUM(CG6:CG6)</f>
        <v>0</v>
      </c>
      <c r="CN7" s="111" t="s">
        <v>79</v>
      </c>
      <c r="CO7" s="116" t="n">
        <v>55058</v>
      </c>
      <c r="CQ7" s="126" t="s">
        <v>80</v>
      </c>
      <c r="CR7" s="127" t="n">
        <f aca="false">CR6</f>
        <v>0</v>
      </c>
      <c r="CY7" s="123" t="s">
        <v>81</v>
      </c>
      <c r="CZ7" s="124" t="n">
        <v>45074</v>
      </c>
      <c r="DB7" s="119" t="s">
        <v>77</v>
      </c>
      <c r="DC7" s="120" t="n">
        <f aca="false">SUM(DC6:DC6)</f>
        <v>0</v>
      </c>
      <c r="DE7" s="121"/>
      <c r="DF7" s="1"/>
      <c r="DG7" s="122"/>
      <c r="DH7" s="1"/>
      <c r="DJ7" s="125" t="s">
        <v>82</v>
      </c>
      <c r="DK7" s="124" t="n">
        <f aca="false">41365*9</f>
        <v>372285</v>
      </c>
      <c r="DM7" s="130" t="s">
        <v>77</v>
      </c>
      <c r="DN7" s="131" t="n">
        <f aca="false">SUM(DN6)</f>
        <v>0</v>
      </c>
      <c r="DP7" s="121"/>
      <c r="DQ7" s="1"/>
      <c r="DR7" s="122"/>
      <c r="DS7" s="1"/>
      <c r="DU7" s="33" t="s">
        <v>83</v>
      </c>
      <c r="DV7" s="116" t="n">
        <v>22320</v>
      </c>
      <c r="DW7" s="28"/>
      <c r="DX7" s="132" t="s">
        <v>77</v>
      </c>
      <c r="DY7" s="133" t="n">
        <f aca="false">SUM(DY6)</f>
        <v>0</v>
      </c>
      <c r="EA7" s="121"/>
      <c r="EB7" s="1"/>
      <c r="EC7" s="122"/>
      <c r="ED7" s="1"/>
      <c r="EF7" s="107" t="s">
        <v>84</v>
      </c>
      <c r="EG7" s="124" t="n">
        <v>35000</v>
      </c>
    </row>
    <row r="8" customFormat="false" ht="20" hidden="false" customHeight="false" outlineLevel="0" collapsed="false">
      <c r="A8" s="51" t="n">
        <v>44029</v>
      </c>
      <c r="B8" s="52" t="n">
        <v>71400</v>
      </c>
      <c r="C8" s="53" t="s">
        <v>85</v>
      </c>
      <c r="D8" s="53" t="s">
        <v>86</v>
      </c>
      <c r="E8" s="53" t="s">
        <v>87</v>
      </c>
      <c r="F8" s="54" t="n">
        <v>3</v>
      </c>
      <c r="G8" s="55"/>
      <c r="I8" s="134" t="s">
        <v>81</v>
      </c>
      <c r="J8" s="135" t="n">
        <v>52776</v>
      </c>
      <c r="L8" s="136" t="s">
        <v>88</v>
      </c>
      <c r="M8" s="136"/>
      <c r="N8" s="136"/>
      <c r="O8" s="136"/>
      <c r="P8" s="137" t="n">
        <f aca="false">SUM(P4:P7)</f>
        <v>38423</v>
      </c>
      <c r="Q8" s="56"/>
      <c r="R8" s="123"/>
      <c r="S8" s="138"/>
      <c r="T8" s="108"/>
      <c r="U8" s="108"/>
      <c r="V8" s="108"/>
      <c r="W8" s="139"/>
      <c r="X8" s="140"/>
      <c r="Z8" s="111" t="s">
        <v>81</v>
      </c>
      <c r="AA8" s="116" t="n">
        <v>35659</v>
      </c>
      <c r="AC8" s="117"/>
      <c r="AD8" s="112"/>
      <c r="AE8" s="34"/>
      <c r="AF8" s="34"/>
      <c r="AG8" s="34"/>
      <c r="AH8" s="118"/>
      <c r="AI8" s="114"/>
      <c r="AK8" s="62" t="s">
        <v>89</v>
      </c>
      <c r="AL8" s="75" t="n">
        <v>185868</v>
      </c>
      <c r="AV8" s="111" t="s">
        <v>90</v>
      </c>
      <c r="AW8" s="116" t="n">
        <v>0</v>
      </c>
      <c r="BG8" s="141" t="s">
        <v>91</v>
      </c>
      <c r="BH8" s="141"/>
      <c r="BR8" s="142" t="s">
        <v>91</v>
      </c>
      <c r="BS8" s="142"/>
      <c r="CC8" s="141" t="s">
        <v>91</v>
      </c>
      <c r="CD8" s="141"/>
      <c r="CN8" s="33" t="s">
        <v>92</v>
      </c>
      <c r="CO8" s="116" t="n">
        <v>360734</v>
      </c>
      <c r="CY8" s="143" t="s">
        <v>93</v>
      </c>
      <c r="CZ8" s="143"/>
      <c r="DJ8" s="144" t="s">
        <v>80</v>
      </c>
      <c r="DK8" s="145" t="n">
        <f aca="false">SUM(DK6:DK7)</f>
        <v>1728311</v>
      </c>
      <c r="DU8" s="33" t="s">
        <v>94</v>
      </c>
      <c r="DV8" s="116" t="n">
        <v>320000</v>
      </c>
      <c r="DW8" s="28"/>
      <c r="EF8" s="146" t="s">
        <v>95</v>
      </c>
      <c r="EG8" s="146"/>
    </row>
    <row r="9" customFormat="false" ht="20" hidden="false" customHeight="false" outlineLevel="0" collapsed="false">
      <c r="A9" s="51" t="n">
        <v>44029</v>
      </c>
      <c r="B9" s="52" t="n">
        <v>71400</v>
      </c>
      <c r="C9" s="53" t="s">
        <v>96</v>
      </c>
      <c r="D9" s="53" t="s">
        <v>97</v>
      </c>
      <c r="E9" s="53" t="s">
        <v>87</v>
      </c>
      <c r="F9" s="54" t="n">
        <v>3</v>
      </c>
      <c r="G9" s="55"/>
      <c r="I9" s="32" t="s">
        <v>60</v>
      </c>
      <c r="J9" s="32"/>
      <c r="L9" s="106" t="s">
        <v>98</v>
      </c>
      <c r="M9" s="147" t="n">
        <f aca="false">P8/2</f>
        <v>19211.5</v>
      </c>
      <c r="P9" s="148"/>
      <c r="Q9" s="28"/>
      <c r="R9" s="149" t="s">
        <v>99</v>
      </c>
      <c r="S9" s="120" t="n">
        <f aca="false">SUM(S6:S8)</f>
        <v>0</v>
      </c>
      <c r="T9" s="150"/>
      <c r="U9" s="151"/>
      <c r="V9" s="152"/>
      <c r="W9" s="152"/>
      <c r="X9" s="153"/>
      <c r="Z9" s="154" t="s">
        <v>100</v>
      </c>
      <c r="AA9" s="155" t="n">
        <v>181004</v>
      </c>
      <c r="AC9" s="156"/>
      <c r="AD9" s="138"/>
      <c r="AE9" s="108"/>
      <c r="AF9" s="108"/>
      <c r="AG9" s="108"/>
      <c r="AH9" s="157"/>
      <c r="AI9" s="140"/>
      <c r="AK9" s="111" t="s">
        <v>81</v>
      </c>
      <c r="AL9" s="116" t="n">
        <v>35659</v>
      </c>
      <c r="AV9" s="111" t="s">
        <v>101</v>
      </c>
      <c r="AW9" s="116" t="n">
        <v>0</v>
      </c>
      <c r="BG9" s="33" t="s">
        <v>102</v>
      </c>
      <c r="BH9" s="116" t="n">
        <v>116442</v>
      </c>
      <c r="BR9" s="66" t="s">
        <v>103</v>
      </c>
      <c r="BS9" s="158" t="n">
        <v>244384</v>
      </c>
      <c r="CC9" s="66" t="s">
        <v>104</v>
      </c>
      <c r="CD9" s="75" t="n">
        <v>151874</v>
      </c>
      <c r="CN9" s="159" t="s">
        <v>79</v>
      </c>
      <c r="CO9" s="160" t="n">
        <v>45074</v>
      </c>
      <c r="CY9" s="161" t="s">
        <v>105</v>
      </c>
      <c r="CZ9" s="162" t="n">
        <v>238000</v>
      </c>
      <c r="DJ9" s="142" t="s">
        <v>91</v>
      </c>
      <c r="DK9" s="142"/>
      <c r="DU9" s="33" t="s">
        <v>106</v>
      </c>
      <c r="DV9" s="116" t="n">
        <v>26000</v>
      </c>
      <c r="DW9" s="28"/>
      <c r="EF9" s="106" t="s">
        <v>107</v>
      </c>
      <c r="EG9" s="163" t="n">
        <v>358571</v>
      </c>
    </row>
    <row r="10" customFormat="false" ht="20" hidden="false" customHeight="false" outlineLevel="0" collapsed="false">
      <c r="A10" s="164" t="n">
        <v>44030</v>
      </c>
      <c r="B10" s="165" t="n">
        <v>47600</v>
      </c>
      <c r="C10" s="166" t="s">
        <v>108</v>
      </c>
      <c r="D10" s="166" t="s">
        <v>109</v>
      </c>
      <c r="E10" s="166" t="s">
        <v>87</v>
      </c>
      <c r="F10" s="167" t="n">
        <v>2</v>
      </c>
      <c r="G10" s="168"/>
      <c r="I10" s="106" t="s">
        <v>110</v>
      </c>
      <c r="J10" s="75" t="n">
        <v>375133</v>
      </c>
      <c r="L10" s="169" t="s">
        <v>111</v>
      </c>
      <c r="M10" s="170" t="n">
        <f aca="false">P8/2</f>
        <v>19211.5</v>
      </c>
      <c r="Q10" s="28"/>
      <c r="R10" s="171" t="s">
        <v>112</v>
      </c>
      <c r="S10" s="171"/>
      <c r="T10" s="171"/>
      <c r="U10" s="171"/>
      <c r="V10" s="171"/>
      <c r="W10" s="171"/>
      <c r="X10" s="171"/>
      <c r="Z10" s="123" t="s">
        <v>81</v>
      </c>
      <c r="AA10" s="124" t="n">
        <v>41365</v>
      </c>
      <c r="AC10" s="172" t="s">
        <v>77</v>
      </c>
      <c r="AD10" s="173" t="n">
        <f aca="false">SUM(AD6:AD9)</f>
        <v>0</v>
      </c>
      <c r="AE10" s="174"/>
      <c r="AF10" s="175"/>
      <c r="AG10" s="175"/>
      <c r="AH10" s="175"/>
      <c r="AI10" s="176"/>
      <c r="AK10" s="33" t="s">
        <v>113</v>
      </c>
      <c r="AL10" s="116" t="n">
        <v>185868</v>
      </c>
      <c r="AV10" s="115" t="s">
        <v>114</v>
      </c>
      <c r="AW10" s="116" t="n">
        <f aca="false">50209*4</f>
        <v>200836</v>
      </c>
      <c r="BG10" s="177" t="s">
        <v>115</v>
      </c>
      <c r="BH10" s="116" t="n">
        <v>93333</v>
      </c>
      <c r="BR10" s="83" t="s">
        <v>116</v>
      </c>
      <c r="BS10" s="84" t="n">
        <v>16800</v>
      </c>
      <c r="CC10" s="83" t="s">
        <v>117</v>
      </c>
      <c r="CD10" s="84" t="n">
        <v>32100</v>
      </c>
      <c r="CN10" s="142" t="s">
        <v>91</v>
      </c>
      <c r="CO10" s="142"/>
      <c r="CY10" s="178" t="s">
        <v>118</v>
      </c>
      <c r="CZ10" s="179" t="n">
        <f aca="false">SUM(CZ6:CZ9)</f>
        <v>601833</v>
      </c>
      <c r="DJ10" s="83" t="s">
        <v>119</v>
      </c>
      <c r="DK10" s="84" t="n">
        <v>624588</v>
      </c>
      <c r="DU10" s="33" t="s">
        <v>120</v>
      </c>
      <c r="DV10" s="116" t="n">
        <v>35000</v>
      </c>
      <c r="DW10" s="28"/>
      <c r="EF10" s="177" t="s">
        <v>121</v>
      </c>
      <c r="EG10" s="180" t="n">
        <v>118200</v>
      </c>
    </row>
    <row r="11" customFormat="false" ht="20" hidden="false" customHeight="false" outlineLevel="0" collapsed="false">
      <c r="A11" s="30" t="s">
        <v>77</v>
      </c>
      <c r="B11" s="181" t="n">
        <f aca="false">SUM(B5:B10)</f>
        <v>522410</v>
      </c>
      <c r="G11" s="182"/>
      <c r="I11" s="177" t="s">
        <v>81</v>
      </c>
      <c r="J11" s="116" t="n">
        <v>45074</v>
      </c>
      <c r="L11" s="183" t="s">
        <v>88</v>
      </c>
      <c r="M11" s="184" t="n">
        <f aca="false">SUM(M9:M10)</f>
        <v>38423</v>
      </c>
      <c r="Q11" s="56"/>
      <c r="R11" s="185" t="n">
        <v>44035</v>
      </c>
      <c r="S11" s="186" t="n">
        <v>317615</v>
      </c>
      <c r="T11" s="187" t="s">
        <v>122</v>
      </c>
      <c r="U11" s="188" t="s">
        <v>123</v>
      </c>
      <c r="V11" s="96"/>
      <c r="W11" s="96"/>
      <c r="X11" s="47"/>
      <c r="Z11" s="142" t="s">
        <v>91</v>
      </c>
      <c r="AA11" s="142"/>
      <c r="AC11" s="49" t="s">
        <v>124</v>
      </c>
      <c r="AD11" s="49"/>
      <c r="AE11" s="49"/>
      <c r="AF11" s="49"/>
      <c r="AG11" s="49"/>
      <c r="AH11" s="49"/>
      <c r="AI11" s="49"/>
      <c r="AK11" s="111" t="s">
        <v>81</v>
      </c>
      <c r="AL11" s="116" t="n">
        <v>35659</v>
      </c>
      <c r="AV11" s="115" t="s">
        <v>125</v>
      </c>
      <c r="AW11" s="116" t="n">
        <v>0</v>
      </c>
      <c r="BG11" s="169" t="s">
        <v>121</v>
      </c>
      <c r="BH11" s="189" t="n">
        <v>78403</v>
      </c>
      <c r="BR11" s="177" t="s">
        <v>126</v>
      </c>
      <c r="BS11" s="116" t="n">
        <v>500000</v>
      </c>
      <c r="CC11" s="177" t="s">
        <v>127</v>
      </c>
      <c r="CD11" s="116" t="n">
        <v>400000</v>
      </c>
      <c r="CN11" s="154" t="s">
        <v>128</v>
      </c>
      <c r="CO11" s="155" t="n">
        <v>106150</v>
      </c>
      <c r="CY11" s="190" t="s">
        <v>129</v>
      </c>
      <c r="CZ11" s="191" t="n">
        <f aca="false">CR7</f>
        <v>0</v>
      </c>
      <c r="DJ11" s="83" t="s">
        <v>102</v>
      </c>
      <c r="DK11" s="192" t="n">
        <v>82347</v>
      </c>
      <c r="DU11" s="33" t="s">
        <v>130</v>
      </c>
      <c r="DV11" s="116" t="n">
        <v>150000</v>
      </c>
      <c r="DW11" s="28"/>
      <c r="EF11" s="177" t="s">
        <v>131</v>
      </c>
      <c r="EG11" s="180" t="n">
        <v>408750</v>
      </c>
    </row>
    <row r="12" customFormat="false" ht="20" hidden="false" customHeight="false" outlineLevel="0" collapsed="false">
      <c r="A12" s="49" t="s">
        <v>132</v>
      </c>
      <c r="B12" s="49"/>
      <c r="C12" s="49"/>
      <c r="D12" s="49"/>
      <c r="E12" s="49"/>
      <c r="F12" s="49"/>
      <c r="G12" s="49"/>
      <c r="I12" s="177" t="s">
        <v>133</v>
      </c>
      <c r="J12" s="116" t="n">
        <v>344059</v>
      </c>
      <c r="Q12" s="56"/>
      <c r="R12" s="193" t="n">
        <v>44027</v>
      </c>
      <c r="S12" s="194" t="n">
        <v>504762</v>
      </c>
      <c r="T12" s="195" t="s">
        <v>122</v>
      </c>
      <c r="U12" s="196" t="s">
        <v>134</v>
      </c>
      <c r="V12" s="197"/>
      <c r="W12" s="197"/>
      <c r="X12" s="198"/>
      <c r="Z12" s="106" t="s">
        <v>135</v>
      </c>
      <c r="AA12" s="75" t="n">
        <f aca="false">313704/2</f>
        <v>156852</v>
      </c>
      <c r="AC12" s="64"/>
      <c r="AD12" s="58"/>
      <c r="AE12" s="59"/>
      <c r="AF12" s="59"/>
      <c r="AG12" s="59"/>
      <c r="AH12" s="60"/>
      <c r="AI12" s="61"/>
      <c r="AK12" s="33" t="s">
        <v>136</v>
      </c>
      <c r="AL12" s="116" t="n">
        <v>181004</v>
      </c>
      <c r="AV12" s="125" t="s">
        <v>70</v>
      </c>
      <c r="AW12" s="124" t="n">
        <f aca="false">1728538-1356026</f>
        <v>372512</v>
      </c>
      <c r="BG12" s="143" t="s">
        <v>93</v>
      </c>
      <c r="BH12" s="143"/>
      <c r="BR12" s="199" t="s">
        <v>137</v>
      </c>
      <c r="BS12" s="200" t="n">
        <v>132084</v>
      </c>
      <c r="CC12" s="177" t="s">
        <v>137</v>
      </c>
      <c r="CD12" s="180" t="n">
        <v>107625</v>
      </c>
      <c r="CN12" s="177" t="s">
        <v>121</v>
      </c>
      <c r="CO12" s="180" t="n">
        <v>69366</v>
      </c>
      <c r="CY12" s="201" t="s">
        <v>138</v>
      </c>
      <c r="CZ12" s="202" t="n">
        <f aca="false">CZ11-CZ10</f>
        <v>-601833</v>
      </c>
      <c r="DJ12" s="83" t="s">
        <v>137</v>
      </c>
      <c r="DK12" s="203" t="n">
        <v>93065</v>
      </c>
      <c r="DU12" s="33" t="s">
        <v>139</v>
      </c>
      <c r="DV12" s="116" t="n">
        <f aca="false">10000+4083+16002</f>
        <v>30085</v>
      </c>
      <c r="DW12" s="28"/>
      <c r="EF12" s="177" t="s">
        <v>121</v>
      </c>
      <c r="EG12" s="180" t="n">
        <v>118100</v>
      </c>
    </row>
    <row r="13" customFormat="false" ht="20" hidden="false" customHeight="false" outlineLevel="0" collapsed="false">
      <c r="A13" s="43" t="n">
        <v>43994</v>
      </c>
      <c r="B13" s="204" t="n">
        <v>80000</v>
      </c>
      <c r="C13" s="45" t="s">
        <v>140</v>
      </c>
      <c r="D13" s="45" t="s">
        <v>86</v>
      </c>
      <c r="E13" s="45" t="s">
        <v>87</v>
      </c>
      <c r="F13" s="205" t="n">
        <v>20</v>
      </c>
      <c r="G13" s="206" t="s">
        <v>141</v>
      </c>
      <c r="I13" s="177" t="s">
        <v>81</v>
      </c>
      <c r="J13" s="116" t="n">
        <v>45074</v>
      </c>
      <c r="L13" s="207"/>
      <c r="M13" s="207"/>
      <c r="Q13" s="56"/>
      <c r="R13" s="208" t="s">
        <v>77</v>
      </c>
      <c r="S13" s="181" t="n">
        <f aca="false">SUM(S11:S12)</f>
        <v>822377</v>
      </c>
      <c r="U13" s="4"/>
      <c r="W13" s="1"/>
      <c r="X13" s="182"/>
      <c r="Z13" s="177" t="s">
        <v>142</v>
      </c>
      <c r="AA13" s="116" t="n">
        <f aca="false">89273/2</f>
        <v>44636.5</v>
      </c>
      <c r="AC13" s="117"/>
      <c r="AD13" s="112"/>
      <c r="AE13" s="34"/>
      <c r="AF13" s="34"/>
      <c r="AG13" s="34"/>
      <c r="AH13" s="113"/>
      <c r="AI13" s="114"/>
      <c r="AK13" s="111" t="s">
        <v>81</v>
      </c>
      <c r="AL13" s="116" t="n">
        <v>41365</v>
      </c>
      <c r="AV13" s="209" t="s">
        <v>91</v>
      </c>
      <c r="AW13" s="209"/>
      <c r="BG13" s="210" t="s">
        <v>143</v>
      </c>
      <c r="BH13" s="155" t="n">
        <v>60000</v>
      </c>
      <c r="BR13" s="211" t="s">
        <v>93</v>
      </c>
      <c r="BS13" s="211"/>
      <c r="CC13" s="177" t="s">
        <v>93</v>
      </c>
      <c r="CD13" s="180" t="n">
        <v>41900</v>
      </c>
      <c r="CN13" s="177" t="s">
        <v>144</v>
      </c>
      <c r="CO13" s="116" t="n">
        <v>106150</v>
      </c>
      <c r="CY13" s="201" t="s">
        <v>145</v>
      </c>
      <c r="CZ13" s="202" t="n">
        <f aca="false">CZ12*35%</f>
        <v>-210641.55</v>
      </c>
      <c r="DJ13" s="212" t="s">
        <v>80</v>
      </c>
      <c r="DK13" s="213" t="n">
        <f aca="false">SUM(DK10:DK12)</f>
        <v>800000</v>
      </c>
      <c r="DU13" s="107" t="s">
        <v>116</v>
      </c>
      <c r="DV13" s="124" t="n">
        <f aca="false">700+2700+2700+2600+2600+600</f>
        <v>11900</v>
      </c>
      <c r="DW13" s="28"/>
      <c r="EF13" s="177" t="s">
        <v>146</v>
      </c>
      <c r="EG13" s="180" t="n">
        <v>358864</v>
      </c>
    </row>
    <row r="14" customFormat="false" ht="18" hidden="false" customHeight="false" outlineLevel="0" collapsed="false">
      <c r="A14" s="51" t="n">
        <v>44014</v>
      </c>
      <c r="B14" s="214" t="n">
        <v>4000</v>
      </c>
      <c r="C14" s="53" t="s">
        <v>147</v>
      </c>
      <c r="D14" s="53" t="s">
        <v>148</v>
      </c>
      <c r="E14" s="53" t="s">
        <v>87</v>
      </c>
      <c r="F14" s="215" t="n">
        <v>1</v>
      </c>
      <c r="G14" s="216" t="s">
        <v>122</v>
      </c>
      <c r="I14" s="177" t="s">
        <v>149</v>
      </c>
      <c r="J14" s="116" t="n">
        <v>325711</v>
      </c>
      <c r="L14" s="217"/>
      <c r="M14" s="217"/>
      <c r="Q14" s="56"/>
      <c r="R14" s="49" t="s">
        <v>150</v>
      </c>
      <c r="S14" s="49"/>
      <c r="T14" s="49"/>
      <c r="U14" s="49"/>
      <c r="V14" s="49"/>
      <c r="W14" s="49"/>
      <c r="X14" s="49"/>
      <c r="Z14" s="115" t="s">
        <v>151</v>
      </c>
      <c r="AA14" s="116" t="n">
        <f aca="false">J56</f>
        <v>45971.0833333333</v>
      </c>
      <c r="AC14" s="117"/>
      <c r="AD14" s="112"/>
      <c r="AE14" s="34"/>
      <c r="AF14" s="34"/>
      <c r="AG14" s="34"/>
      <c r="AH14" s="113"/>
      <c r="AI14" s="114"/>
      <c r="AK14" s="177" t="s">
        <v>152</v>
      </c>
      <c r="AL14" s="116" t="n">
        <f aca="false">191769*8</f>
        <v>1534152</v>
      </c>
      <c r="AV14" s="218" t="s">
        <v>153</v>
      </c>
      <c r="AW14" s="75" t="n">
        <f aca="false">28044+571956</f>
        <v>600000</v>
      </c>
      <c r="BG14" s="219" t="s">
        <v>118</v>
      </c>
      <c r="BH14" s="220" t="n">
        <f aca="false">SUM(BH6:BH13)</f>
        <v>810285</v>
      </c>
      <c r="BR14" s="221" t="s">
        <v>154</v>
      </c>
      <c r="BS14" s="222" t="n">
        <v>25000</v>
      </c>
      <c r="CC14" s="33" t="s">
        <v>155</v>
      </c>
      <c r="CD14" s="116" t="n">
        <v>12000</v>
      </c>
      <c r="CN14" s="169" t="s">
        <v>121</v>
      </c>
      <c r="CO14" s="189" t="n">
        <v>69366</v>
      </c>
      <c r="CY14" s="201" t="s">
        <v>156</v>
      </c>
      <c r="CZ14" s="202" t="n">
        <f aca="false">CZ12*65%</f>
        <v>-391191.45</v>
      </c>
      <c r="DJ14" s="66" t="s">
        <v>157</v>
      </c>
      <c r="DK14" s="98" t="n">
        <f aca="false">629343</f>
        <v>629343</v>
      </c>
      <c r="DU14" s="223" t="s">
        <v>80</v>
      </c>
      <c r="DV14" s="224" t="n">
        <f aca="false">SUM(DV6:DV13)</f>
        <v>630305</v>
      </c>
      <c r="EF14" s="169" t="s">
        <v>121</v>
      </c>
      <c r="EG14" s="189" t="n">
        <v>105160</v>
      </c>
    </row>
    <row r="15" customFormat="false" ht="20" hidden="false" customHeight="false" outlineLevel="0" collapsed="false">
      <c r="A15" s="225" t="n">
        <v>44015</v>
      </c>
      <c r="B15" s="214" t="n">
        <v>28000</v>
      </c>
      <c r="C15" s="226" t="s">
        <v>158</v>
      </c>
      <c r="D15" s="226" t="s">
        <v>86</v>
      </c>
      <c r="E15" s="226" t="s">
        <v>87</v>
      </c>
      <c r="F15" s="227" t="n">
        <v>7</v>
      </c>
      <c r="G15" s="228" t="s">
        <v>141</v>
      </c>
      <c r="I15" s="177" t="s">
        <v>81</v>
      </c>
      <c r="J15" s="116" t="n">
        <v>45074</v>
      </c>
      <c r="L15" s="229"/>
      <c r="M15" s="2"/>
      <c r="Q15" s="56"/>
      <c r="R15" s="57"/>
      <c r="S15" s="230"/>
      <c r="T15" s="59"/>
      <c r="U15" s="59"/>
      <c r="V15" s="59"/>
      <c r="W15" s="65"/>
      <c r="X15" s="231"/>
      <c r="Z15" s="232" t="s">
        <v>159</v>
      </c>
      <c r="AA15" s="233" t="n">
        <f aca="false">+((337796/3)/3)</f>
        <v>37532.8888888889</v>
      </c>
      <c r="AC15" s="117"/>
      <c r="AD15" s="112"/>
      <c r="AE15" s="35"/>
      <c r="AF15" s="34"/>
      <c r="AG15" s="34"/>
      <c r="AH15" s="113"/>
      <c r="AI15" s="114"/>
      <c r="AK15" s="177" t="s">
        <v>160</v>
      </c>
      <c r="AL15" s="116" t="n">
        <f aca="false">41365*8</f>
        <v>330920</v>
      </c>
      <c r="AV15" s="234" t="s">
        <v>161</v>
      </c>
      <c r="AW15" s="116" t="n">
        <f aca="false">273680+250000+76320</f>
        <v>600000</v>
      </c>
      <c r="BG15" s="190" t="s">
        <v>129</v>
      </c>
      <c r="BH15" s="191" t="n">
        <f aca="false">AZ7</f>
        <v>0</v>
      </c>
      <c r="BR15" s="221" t="s">
        <v>155</v>
      </c>
      <c r="BS15" s="222" t="n">
        <v>18000</v>
      </c>
      <c r="CC15" s="107" t="s">
        <v>162</v>
      </c>
      <c r="CD15" s="124" t="n">
        <v>70000</v>
      </c>
      <c r="CN15" s="209" t="s">
        <v>93</v>
      </c>
      <c r="CO15" s="209"/>
      <c r="CY15" s="201" t="s">
        <v>163</v>
      </c>
      <c r="CZ15" s="235" t="n">
        <f aca="false">CZ14*25%</f>
        <v>-97797.8625</v>
      </c>
      <c r="DJ15" s="210" t="s">
        <v>102</v>
      </c>
      <c r="DK15" s="192" t="n">
        <v>77592</v>
      </c>
      <c r="DU15" s="190" t="s">
        <v>129</v>
      </c>
      <c r="DV15" s="191" t="n">
        <f aca="false">DN7</f>
        <v>0</v>
      </c>
      <c r="EF15" s="146" t="s">
        <v>164</v>
      </c>
      <c r="EG15" s="146"/>
    </row>
    <row r="16" customFormat="false" ht="18" hidden="false" customHeight="false" outlineLevel="0" collapsed="false">
      <c r="A16" s="236" t="n">
        <v>44021</v>
      </c>
      <c r="B16" s="214" t="n">
        <v>4760</v>
      </c>
      <c r="C16" s="237" t="s">
        <v>147</v>
      </c>
      <c r="D16" s="237" t="s">
        <v>109</v>
      </c>
      <c r="E16" s="237" t="s">
        <v>87</v>
      </c>
      <c r="F16" s="238" t="n">
        <v>1</v>
      </c>
      <c r="G16" s="239" t="s">
        <v>122</v>
      </c>
      <c r="I16" s="177" t="s">
        <v>165</v>
      </c>
      <c r="J16" s="116" t="n">
        <v>327876</v>
      </c>
      <c r="L16" s="229"/>
      <c r="M16" s="2"/>
      <c r="Q16" s="28"/>
      <c r="R16" s="149" t="s">
        <v>99</v>
      </c>
      <c r="S16" s="120" t="n">
        <f aca="false">SUM(S15:S15)</f>
        <v>0</v>
      </c>
      <c r="U16" s="5"/>
      <c r="W16" s="240"/>
      <c r="X16" s="1"/>
      <c r="Z16" s="232" t="s">
        <v>121</v>
      </c>
      <c r="AA16" s="233" t="n">
        <f aca="false">J58</f>
        <v>8681.22222222222</v>
      </c>
      <c r="AC16" s="117"/>
      <c r="AD16" s="112"/>
      <c r="AE16" s="35"/>
      <c r="AF16" s="34"/>
      <c r="AG16" s="34"/>
      <c r="AH16" s="113"/>
      <c r="AI16" s="114"/>
      <c r="AK16" s="177" t="s">
        <v>166</v>
      </c>
      <c r="AL16" s="116" t="n">
        <v>356956</v>
      </c>
      <c r="AV16" s="234" t="s">
        <v>167</v>
      </c>
      <c r="AW16" s="116" t="n">
        <f aca="false">571956+28044+22000</f>
        <v>622000</v>
      </c>
      <c r="BG16" s="201" t="s">
        <v>138</v>
      </c>
      <c r="BH16" s="202" t="n">
        <f aca="false">BH15-BH14</f>
        <v>-810285</v>
      </c>
      <c r="BR16" s="211" t="s">
        <v>168</v>
      </c>
      <c r="BS16" s="211"/>
      <c r="CC16" s="178" t="s">
        <v>118</v>
      </c>
      <c r="CD16" s="179" t="n">
        <f aca="false">SUM(CD6:CD15)</f>
        <v>1242806</v>
      </c>
      <c r="CN16" s="62" t="s">
        <v>169</v>
      </c>
      <c r="CO16" s="75" t="n">
        <f aca="false">55605+600</f>
        <v>56205</v>
      </c>
      <c r="CY16" s="241" t="s">
        <v>170</v>
      </c>
      <c r="CZ16" s="242" t="n">
        <f aca="false">CZ14-CZ15</f>
        <v>-293393.5875</v>
      </c>
      <c r="DJ16" s="210" t="s">
        <v>137</v>
      </c>
      <c r="DK16" s="192" t="n">
        <v>93065</v>
      </c>
      <c r="DU16" s="201" t="s">
        <v>138</v>
      </c>
      <c r="DV16" s="243" t="n">
        <f aca="false">DV15-DV14</f>
        <v>-630305</v>
      </c>
      <c r="EF16" s="106" t="s">
        <v>171</v>
      </c>
      <c r="EG16" s="163" t="n">
        <f aca="false">200840+24000</f>
        <v>224840</v>
      </c>
    </row>
    <row r="17" customFormat="false" ht="20" hidden="false" customHeight="false" outlineLevel="0" collapsed="false">
      <c r="A17" s="51" t="n">
        <v>44019</v>
      </c>
      <c r="B17" s="214" t="n">
        <v>28000</v>
      </c>
      <c r="C17" s="53" t="s">
        <v>172</v>
      </c>
      <c r="D17" s="53" t="s">
        <v>173</v>
      </c>
      <c r="E17" s="53" t="s">
        <v>49</v>
      </c>
      <c r="F17" s="215" t="n">
        <v>7</v>
      </c>
      <c r="G17" s="216" t="s">
        <v>174</v>
      </c>
      <c r="I17" s="169" t="s">
        <v>81</v>
      </c>
      <c r="J17" s="124" t="n">
        <v>45074</v>
      </c>
      <c r="L17" s="229"/>
      <c r="M17" s="2"/>
      <c r="N17" s="207"/>
      <c r="O17" s="207"/>
      <c r="P17" s="207"/>
      <c r="Q17" s="28"/>
      <c r="R17" s="244" t="s">
        <v>80</v>
      </c>
      <c r="S17" s="173" t="n">
        <f aca="false">S9+S13+S16</f>
        <v>822377</v>
      </c>
      <c r="V17" s="245"/>
      <c r="Z17" s="246" t="s">
        <v>175</v>
      </c>
      <c r="AA17" s="247" t="n">
        <f aca="false">J51</f>
        <v>64627.4444444444</v>
      </c>
      <c r="AC17" s="117"/>
      <c r="AD17" s="112"/>
      <c r="AE17" s="34"/>
      <c r="AF17" s="34"/>
      <c r="AG17" s="34"/>
      <c r="AH17" s="113"/>
      <c r="AI17" s="114"/>
      <c r="AK17" s="169" t="s">
        <v>81</v>
      </c>
      <c r="AL17" s="124" t="n">
        <v>49929</v>
      </c>
      <c r="AV17" s="234" t="s">
        <v>176</v>
      </c>
      <c r="AW17" s="116" t="n">
        <f aca="false">571956+28044</f>
        <v>600000</v>
      </c>
      <c r="BG17" s="201" t="s">
        <v>145</v>
      </c>
      <c r="BH17" s="202" t="n">
        <f aca="false">BH16*35%</f>
        <v>-283599.75</v>
      </c>
      <c r="BR17" s="248" t="e">
        <f aca="false">#REF!</f>
        <v>#REF!</v>
      </c>
      <c r="BS17" s="249" t="e">
        <f aca="false">#REF!</f>
        <v>#REF!</v>
      </c>
      <c r="CC17" s="190" t="s">
        <v>129</v>
      </c>
      <c r="CD17" s="191" t="n">
        <f aca="false">BV7</f>
        <v>0</v>
      </c>
      <c r="CN17" s="33" t="s">
        <v>177</v>
      </c>
      <c r="CO17" s="116" t="n">
        <f aca="false">109091+66970</f>
        <v>176061</v>
      </c>
      <c r="DJ17" s="250" t="s">
        <v>80</v>
      </c>
      <c r="DK17" s="251" t="n">
        <f aca="false">SUM(DK14:DK16)</f>
        <v>800000</v>
      </c>
      <c r="DU17" s="201" t="s">
        <v>145</v>
      </c>
      <c r="DV17" s="243" t="n">
        <f aca="false">DV16*35%</f>
        <v>-220606.75</v>
      </c>
      <c r="EF17" s="177" t="s">
        <v>178</v>
      </c>
      <c r="EG17" s="180" t="n">
        <f aca="false">120007+16800</f>
        <v>136807</v>
      </c>
    </row>
    <row r="18" customFormat="false" ht="20" hidden="false" customHeight="false" outlineLevel="0" collapsed="false">
      <c r="A18" s="225" t="n">
        <v>44021</v>
      </c>
      <c r="B18" s="214" t="n">
        <v>16000</v>
      </c>
      <c r="C18" s="226" t="s">
        <v>179</v>
      </c>
      <c r="D18" s="226" t="s">
        <v>180</v>
      </c>
      <c r="E18" s="226" t="s">
        <v>181</v>
      </c>
      <c r="F18" s="227" t="n">
        <v>4</v>
      </c>
      <c r="G18" s="228" t="s">
        <v>182</v>
      </c>
      <c r="I18" s="252" t="s">
        <v>183</v>
      </c>
      <c r="J18" s="252"/>
      <c r="L18" s="229"/>
      <c r="M18" s="2"/>
      <c r="N18" s="217"/>
      <c r="O18" s="217"/>
      <c r="P18" s="253"/>
      <c r="Q18" s="28"/>
      <c r="R18" s="254"/>
      <c r="S18" s="255"/>
      <c r="T18" s="245"/>
      <c r="U18" s="245"/>
      <c r="V18" s="245"/>
      <c r="W18" s="245"/>
      <c r="X18" s="245"/>
      <c r="Z18" s="142" t="s">
        <v>93</v>
      </c>
      <c r="AA18" s="142"/>
      <c r="AC18" s="117"/>
      <c r="AD18" s="112"/>
      <c r="AE18" s="34"/>
      <c r="AF18" s="34"/>
      <c r="AG18" s="34"/>
      <c r="AH18" s="113"/>
      <c r="AI18" s="114"/>
      <c r="AK18" s="209" t="s">
        <v>91</v>
      </c>
      <c r="AL18" s="209"/>
      <c r="AV18" s="234" t="s">
        <v>184</v>
      </c>
      <c r="AW18" s="116" t="n">
        <f aca="false">421956+150000+28044</f>
        <v>600000</v>
      </c>
      <c r="BG18" s="201" t="s">
        <v>156</v>
      </c>
      <c r="BH18" s="202" t="n">
        <f aca="false">BH16*65%</f>
        <v>-526685.25</v>
      </c>
      <c r="BR18" s="178" t="s">
        <v>118</v>
      </c>
      <c r="BS18" s="179" t="e">
        <f aca="false">SUM(BS6:BS17)</f>
        <v>#REF!</v>
      </c>
      <c r="CC18" s="201" t="s">
        <v>138</v>
      </c>
      <c r="CD18" s="202" t="n">
        <f aca="false">+BV7-CD16</f>
        <v>-1242806</v>
      </c>
      <c r="CN18" s="33" t="s">
        <v>185</v>
      </c>
      <c r="CO18" s="116" t="n">
        <v>75000</v>
      </c>
      <c r="DJ18" s="66" t="s">
        <v>186</v>
      </c>
      <c r="DK18" s="98" t="n">
        <v>639308</v>
      </c>
      <c r="DU18" s="201" t="s">
        <v>156</v>
      </c>
      <c r="DV18" s="243" t="n">
        <f aca="false">DV16*65%</f>
        <v>-409698.25</v>
      </c>
      <c r="EF18" s="169" t="s">
        <v>187</v>
      </c>
      <c r="EG18" s="189" t="n">
        <f aca="false">175967+17600</f>
        <v>193567</v>
      </c>
    </row>
    <row r="19" customFormat="false" ht="19" hidden="false" customHeight="true" outlineLevel="0" collapsed="false">
      <c r="A19" s="236" t="n">
        <v>44021</v>
      </c>
      <c r="B19" s="214" t="n">
        <v>4760</v>
      </c>
      <c r="C19" s="237" t="s">
        <v>147</v>
      </c>
      <c r="D19" s="237" t="s">
        <v>109</v>
      </c>
      <c r="E19" s="237" t="s">
        <v>87</v>
      </c>
      <c r="F19" s="238" t="n">
        <v>1</v>
      </c>
      <c r="G19" s="239" t="s">
        <v>122</v>
      </c>
      <c r="I19" s="104" t="s">
        <v>188</v>
      </c>
      <c r="J19" s="163" t="n">
        <v>395060</v>
      </c>
      <c r="L19" s="229"/>
      <c r="M19" s="2"/>
      <c r="N19" s="2"/>
      <c r="O19" s="2"/>
      <c r="P19" s="253"/>
      <c r="R19" s="254"/>
      <c r="S19" s="255"/>
      <c r="T19" s="245"/>
      <c r="U19" s="245"/>
      <c r="W19" s="245"/>
      <c r="X19" s="245"/>
      <c r="Z19" s="57" t="s">
        <v>189</v>
      </c>
      <c r="AA19" s="98" t="n">
        <v>12000</v>
      </c>
      <c r="AC19" s="117"/>
      <c r="AD19" s="112"/>
      <c r="AE19" s="34"/>
      <c r="AF19" s="34"/>
      <c r="AG19" s="34"/>
      <c r="AH19" s="113"/>
      <c r="AI19" s="114"/>
      <c r="AK19" s="66" t="s">
        <v>190</v>
      </c>
      <c r="AL19" s="98" t="n">
        <f aca="false">(268333/2)</f>
        <v>134166.5</v>
      </c>
      <c r="AV19" s="234" t="s">
        <v>191</v>
      </c>
      <c r="AW19" s="116" t="n">
        <f aca="false">76320+523680</f>
        <v>600000</v>
      </c>
      <c r="BG19" s="201" t="s">
        <v>163</v>
      </c>
      <c r="BH19" s="235" t="n">
        <f aca="false">BH18*25%</f>
        <v>-131671.3125</v>
      </c>
      <c r="BR19" s="190" t="s">
        <v>129</v>
      </c>
      <c r="BS19" s="191" t="n">
        <f aca="false">BK7</f>
        <v>0</v>
      </c>
      <c r="CC19" s="201" t="s">
        <v>145</v>
      </c>
      <c r="CD19" s="202" t="n">
        <f aca="false">CD18*35%</f>
        <v>-434982.1</v>
      </c>
      <c r="CN19" s="107" t="s">
        <v>192</v>
      </c>
      <c r="CO19" s="124" t="n">
        <v>22500</v>
      </c>
      <c r="DJ19" s="83" t="s">
        <v>193</v>
      </c>
      <c r="DK19" s="84" t="n">
        <v>64903</v>
      </c>
      <c r="DU19" s="201" t="s">
        <v>163</v>
      </c>
      <c r="DV19" s="256" t="n">
        <f aca="false">DV18*25%</f>
        <v>-102424.5625</v>
      </c>
      <c r="EF19" s="223" t="s">
        <v>80</v>
      </c>
      <c r="EG19" s="257" t="n">
        <f aca="false">SUM(EG6:EG18)</f>
        <v>2094012</v>
      </c>
    </row>
    <row r="20" customFormat="false" ht="18" hidden="false" customHeight="false" outlineLevel="0" collapsed="false">
      <c r="A20" s="51" t="n">
        <v>44018</v>
      </c>
      <c r="B20" s="214" t="n">
        <v>56000</v>
      </c>
      <c r="C20" s="53" t="s">
        <v>194</v>
      </c>
      <c r="D20" s="53" t="s">
        <v>195</v>
      </c>
      <c r="E20" s="53" t="s">
        <v>196</v>
      </c>
      <c r="F20" s="215" t="n">
        <v>14</v>
      </c>
      <c r="G20" s="216" t="s">
        <v>141</v>
      </c>
      <c r="I20" s="115" t="s">
        <v>197</v>
      </c>
      <c r="J20" s="180" t="n">
        <v>378619</v>
      </c>
      <c r="L20" s="229"/>
      <c r="M20" s="2"/>
      <c r="N20" s="2"/>
      <c r="O20" s="2"/>
      <c r="P20" s="253"/>
      <c r="Q20" s="258"/>
      <c r="R20" s="254"/>
      <c r="S20" s="255"/>
      <c r="T20" s="245"/>
      <c r="U20" s="245"/>
      <c r="V20" s="245"/>
      <c r="W20" s="245"/>
      <c r="X20" s="245"/>
      <c r="Z20" s="111" t="s">
        <v>198</v>
      </c>
      <c r="AA20" s="84" t="n">
        <v>15000</v>
      </c>
      <c r="AC20" s="117"/>
      <c r="AD20" s="112"/>
      <c r="AE20" s="34"/>
      <c r="AF20" s="34"/>
      <c r="AG20" s="34"/>
      <c r="AH20" s="113"/>
      <c r="AI20" s="114"/>
      <c r="AK20" s="83" t="s">
        <v>137</v>
      </c>
      <c r="AL20" s="84" t="n">
        <f aca="false">120630/2</f>
        <v>60315</v>
      </c>
      <c r="AV20" s="234" t="s">
        <v>199</v>
      </c>
      <c r="AW20" s="116" t="n">
        <f aca="false">28044+571956+44000</f>
        <v>644000</v>
      </c>
      <c r="BG20" s="241" t="s">
        <v>170</v>
      </c>
      <c r="BH20" s="242" t="n">
        <f aca="false">BH18-BH19</f>
        <v>-395013.9375</v>
      </c>
      <c r="BR20" s="201" t="s">
        <v>138</v>
      </c>
      <c r="BS20" s="202" t="e">
        <f aca="false">BS19-BS18</f>
        <v>#REF!</v>
      </c>
      <c r="CC20" s="201" t="s">
        <v>156</v>
      </c>
      <c r="CD20" s="202" t="n">
        <f aca="false">CD18*65%</f>
        <v>-807823.9</v>
      </c>
      <c r="CN20" s="178" t="s">
        <v>118</v>
      </c>
      <c r="CO20" s="179" t="n">
        <f aca="false">SUM(CO6:CO19)</f>
        <v>1548042</v>
      </c>
      <c r="DJ20" s="83" t="s">
        <v>200</v>
      </c>
      <c r="DK20" s="84" t="n">
        <v>95789</v>
      </c>
      <c r="DU20" s="241" t="s">
        <v>170</v>
      </c>
      <c r="DV20" s="259" t="n">
        <f aca="false">DV18-DV19</f>
        <v>-307273.6875</v>
      </c>
      <c r="EF20" s="190" t="s">
        <v>129</v>
      </c>
      <c r="EG20" s="260" t="n">
        <v>0</v>
      </c>
    </row>
    <row r="21" customFormat="false" ht="20" hidden="false" customHeight="false" outlineLevel="0" collapsed="false">
      <c r="A21" s="51" t="n">
        <v>44029</v>
      </c>
      <c r="B21" s="214" t="n">
        <v>24000</v>
      </c>
      <c r="C21" s="53" t="s">
        <v>201</v>
      </c>
      <c r="D21" s="53" t="s">
        <v>202</v>
      </c>
      <c r="E21" s="53" t="s">
        <v>87</v>
      </c>
      <c r="F21" s="215" t="n">
        <v>6</v>
      </c>
      <c r="G21" s="216" t="s">
        <v>141</v>
      </c>
      <c r="I21" s="177" t="s">
        <v>203</v>
      </c>
      <c r="J21" s="180" t="n">
        <v>420784</v>
      </c>
      <c r="L21" s="217"/>
      <c r="M21" s="261"/>
      <c r="N21" s="2"/>
      <c r="O21" s="2"/>
      <c r="P21" s="253"/>
      <c r="Q21" s="258"/>
      <c r="R21" s="254"/>
      <c r="S21" s="255"/>
      <c r="T21" s="245"/>
      <c r="U21" s="245"/>
      <c r="V21" s="245"/>
      <c r="W21" s="245"/>
      <c r="X21" s="245"/>
      <c r="Y21" s="245"/>
      <c r="Z21" s="33" t="s">
        <v>204</v>
      </c>
      <c r="AA21" s="36" t="n">
        <v>5000</v>
      </c>
      <c r="AC21" s="117"/>
      <c r="AD21" s="112"/>
      <c r="AE21" s="34"/>
      <c r="AF21" s="34"/>
      <c r="AG21" s="34"/>
      <c r="AH21" s="113"/>
      <c r="AI21" s="114"/>
      <c r="AK21" s="83" t="s">
        <v>205</v>
      </c>
      <c r="AL21" s="84" t="n">
        <f aca="false">245000/2</f>
        <v>122500</v>
      </c>
      <c r="AV21" s="234" t="s">
        <v>206</v>
      </c>
      <c r="AW21" s="116" t="n">
        <f aca="false">76320+523680</f>
        <v>600000</v>
      </c>
      <c r="BR21" s="201" t="s">
        <v>145</v>
      </c>
      <c r="BS21" s="202" t="e">
        <f aca="false">BS20*35%</f>
        <v>#REF!</v>
      </c>
      <c r="CC21" s="201" t="s">
        <v>163</v>
      </c>
      <c r="CD21" s="235" t="n">
        <f aca="false">CD20*25%</f>
        <v>-201955.975</v>
      </c>
      <c r="CN21" s="190" t="s">
        <v>129</v>
      </c>
      <c r="CO21" s="191" t="n">
        <f aca="false">CG7</f>
        <v>0</v>
      </c>
      <c r="DJ21" s="212" t="s">
        <v>80</v>
      </c>
      <c r="DK21" s="213" t="n">
        <f aca="false">SUM(DK18:DK20)</f>
        <v>800000</v>
      </c>
      <c r="EF21" s="201" t="s">
        <v>138</v>
      </c>
      <c r="EG21" s="243" t="n">
        <f aca="false">EG20-EG19</f>
        <v>-2094012</v>
      </c>
    </row>
    <row r="22" customFormat="false" ht="18" hidden="false" customHeight="false" outlineLevel="0" collapsed="false">
      <c r="A22" s="236" t="n">
        <v>44035</v>
      </c>
      <c r="B22" s="214" t="n">
        <v>4760</v>
      </c>
      <c r="C22" s="237" t="s">
        <v>147</v>
      </c>
      <c r="D22" s="237" t="s">
        <v>86</v>
      </c>
      <c r="E22" s="237" t="s">
        <v>87</v>
      </c>
      <c r="F22" s="238" t="n">
        <v>1</v>
      </c>
      <c r="G22" s="239" t="s">
        <v>122</v>
      </c>
      <c r="I22" s="177" t="s">
        <v>207</v>
      </c>
      <c r="J22" s="180" t="n">
        <v>354981</v>
      </c>
      <c r="L22" s="229"/>
      <c r="M22" s="229"/>
      <c r="N22" s="2"/>
      <c r="O22" s="2"/>
      <c r="P22" s="253"/>
      <c r="R22" s="254"/>
      <c r="S22" s="255"/>
      <c r="T22" s="245"/>
      <c r="U22" s="245"/>
      <c r="V22" s="245"/>
      <c r="W22" s="245"/>
      <c r="X22" s="245"/>
      <c r="Y22" s="245"/>
      <c r="Z22" s="33" t="s">
        <v>208</v>
      </c>
      <c r="AA22" s="36" t="n">
        <v>600</v>
      </c>
      <c r="AC22" s="117"/>
      <c r="AD22" s="112"/>
      <c r="AE22" s="34"/>
      <c r="AF22" s="34"/>
      <c r="AG22" s="34"/>
      <c r="AH22" s="113"/>
      <c r="AI22" s="114"/>
      <c r="AK22" s="83" t="s">
        <v>137</v>
      </c>
      <c r="AL22" s="84" t="n">
        <v>119249</v>
      </c>
      <c r="AV22" s="234" t="s">
        <v>209</v>
      </c>
      <c r="AW22" s="116" t="n">
        <f aca="false">426405+100000+73595</f>
        <v>600000</v>
      </c>
      <c r="BR22" s="201" t="s">
        <v>156</v>
      </c>
      <c r="BS22" s="202" t="e">
        <f aca="false">BS20*65%</f>
        <v>#REF!</v>
      </c>
      <c r="CC22" s="241" t="s">
        <v>170</v>
      </c>
      <c r="CD22" s="242" t="n">
        <f aca="false">CD20-CD21</f>
        <v>-605867.925</v>
      </c>
      <c r="CN22" s="201" t="s">
        <v>138</v>
      </c>
      <c r="CO22" s="202" t="n">
        <f aca="false">CO21-CO20</f>
        <v>-1548042</v>
      </c>
      <c r="DJ22" s="66" t="s">
        <v>210</v>
      </c>
      <c r="DK22" s="98" t="n">
        <v>593765</v>
      </c>
      <c r="EF22" s="201" t="s">
        <v>145</v>
      </c>
      <c r="EG22" s="243" t="n">
        <f aca="false">EG21*35%</f>
        <v>-732904.2</v>
      </c>
    </row>
    <row r="23" customFormat="false" ht="17" hidden="false" customHeight="false" outlineLevel="0" collapsed="false">
      <c r="A23" s="51" t="n">
        <v>44026</v>
      </c>
      <c r="B23" s="214" t="n">
        <v>60000</v>
      </c>
      <c r="C23" s="53" t="s">
        <v>211</v>
      </c>
      <c r="D23" s="53" t="s">
        <v>212</v>
      </c>
      <c r="E23" s="53" t="s">
        <v>49</v>
      </c>
      <c r="F23" s="215" t="n">
        <v>15</v>
      </c>
      <c r="G23" s="216" t="s">
        <v>141</v>
      </c>
      <c r="I23" s="115" t="s">
        <v>213</v>
      </c>
      <c r="J23" s="180" t="n">
        <v>217950</v>
      </c>
      <c r="L23" s="262"/>
      <c r="M23" s="262"/>
      <c r="N23" s="2"/>
      <c r="O23" s="2"/>
      <c r="P23" s="253"/>
      <c r="Y23" s="245"/>
      <c r="Z23" s="263" t="s">
        <v>214</v>
      </c>
      <c r="AA23" s="264" t="n">
        <v>10000</v>
      </c>
      <c r="AC23" s="117"/>
      <c r="AD23" s="112"/>
      <c r="AE23" s="34"/>
      <c r="AF23" s="34"/>
      <c r="AG23" s="34"/>
      <c r="AH23" s="113"/>
      <c r="AI23" s="114"/>
      <c r="AK23" s="177" t="s">
        <v>215</v>
      </c>
      <c r="AL23" s="233" t="n">
        <f aca="false">160250/2</f>
        <v>80125</v>
      </c>
      <c r="AV23" s="234" t="s">
        <v>216</v>
      </c>
      <c r="AW23" s="116" t="n">
        <f aca="false">150000+421956+28044</f>
        <v>600000</v>
      </c>
      <c r="BR23" s="201" t="s">
        <v>163</v>
      </c>
      <c r="BS23" s="235" t="e">
        <f aca="false">BS22*25%</f>
        <v>#REF!</v>
      </c>
      <c r="CN23" s="201" t="s">
        <v>145</v>
      </c>
      <c r="CO23" s="202" t="n">
        <f aca="false">CO22*35%</f>
        <v>-541814.7</v>
      </c>
      <c r="DJ23" s="83" t="s">
        <v>102</v>
      </c>
      <c r="DK23" s="192" t="n">
        <v>110486</v>
      </c>
      <c r="EF23" s="201" t="s">
        <v>156</v>
      </c>
      <c r="EG23" s="243" t="n">
        <f aca="false">EG21*65%</f>
        <v>-1361107.8</v>
      </c>
    </row>
    <row r="24" customFormat="false" ht="19" hidden="false" customHeight="true" outlineLevel="0" collapsed="false">
      <c r="A24" s="164" t="n">
        <v>44042</v>
      </c>
      <c r="B24" s="265" t="n">
        <v>4760</v>
      </c>
      <c r="C24" s="166" t="s">
        <v>147</v>
      </c>
      <c r="D24" s="166" t="s">
        <v>195</v>
      </c>
      <c r="E24" s="166" t="s">
        <v>87</v>
      </c>
      <c r="F24" s="266" t="n">
        <v>1</v>
      </c>
      <c r="G24" s="267" t="s">
        <v>122</v>
      </c>
      <c r="I24" s="177" t="s">
        <v>217</v>
      </c>
      <c r="J24" s="116" t="n">
        <v>378619</v>
      </c>
      <c r="L24" s="268"/>
      <c r="M24" s="268"/>
      <c r="N24" s="2"/>
      <c r="O24" s="2"/>
      <c r="P24" s="253"/>
      <c r="Y24" s="245"/>
      <c r="Z24" s="178" t="s">
        <v>118</v>
      </c>
      <c r="AA24" s="179" t="n">
        <f aca="false">SUM(AA6:AA20)</f>
        <v>1066433.13888889</v>
      </c>
      <c r="AC24" s="117"/>
      <c r="AD24" s="112"/>
      <c r="AE24" s="34"/>
      <c r="AF24" s="34"/>
      <c r="AG24" s="34"/>
      <c r="AH24" s="113"/>
      <c r="AI24" s="114"/>
      <c r="AK24" s="177" t="s">
        <v>137</v>
      </c>
      <c r="AL24" s="116" t="n">
        <f aca="false">58794/2</f>
        <v>29397</v>
      </c>
      <c r="AV24" s="234" t="s">
        <v>218</v>
      </c>
      <c r="AW24" s="116" t="n">
        <f aca="false">75158+150000+374842</f>
        <v>600000</v>
      </c>
      <c r="BR24" s="241" t="s">
        <v>170</v>
      </c>
      <c r="BS24" s="242" t="e">
        <f aca="false">BS22-BS23</f>
        <v>#REF!</v>
      </c>
      <c r="CN24" s="201" t="s">
        <v>156</v>
      </c>
      <c r="CO24" s="202" t="n">
        <f aca="false">CO22*65%</f>
        <v>-1006227.3</v>
      </c>
      <c r="DJ24" s="269" t="s">
        <v>137</v>
      </c>
      <c r="DK24" s="203" t="n">
        <v>95749</v>
      </c>
      <c r="DU24" s="33" t="s">
        <v>219</v>
      </c>
      <c r="DV24" s="36" t="n">
        <v>10900</v>
      </c>
      <c r="EF24" s="201" t="s">
        <v>163</v>
      </c>
      <c r="EG24" s="256" t="n">
        <f aca="false">EG23*25%</f>
        <v>-340276.95</v>
      </c>
    </row>
    <row r="25" customFormat="false" ht="18" hidden="false" customHeight="true" outlineLevel="0" collapsed="false">
      <c r="A25" s="270" t="s">
        <v>77</v>
      </c>
      <c r="B25" s="181" t="n">
        <f aca="false">SUM(B13:B24)</f>
        <v>315040</v>
      </c>
      <c r="C25" s="271"/>
      <c r="D25" s="272"/>
      <c r="E25" s="273"/>
      <c r="F25" s="274"/>
      <c r="G25" s="275"/>
      <c r="H25" s="276"/>
      <c r="I25" s="177" t="s">
        <v>81</v>
      </c>
      <c r="J25" s="116" t="n">
        <v>55058</v>
      </c>
      <c r="L25" s="268"/>
      <c r="M25" s="2"/>
      <c r="N25" s="261"/>
      <c r="O25" s="261"/>
      <c r="P25" s="277"/>
      <c r="Y25" s="245"/>
      <c r="Z25" s="278" t="s">
        <v>129</v>
      </c>
      <c r="AA25" s="279" t="n">
        <f aca="false">S17</f>
        <v>822377</v>
      </c>
      <c r="AC25" s="117"/>
      <c r="AD25" s="112"/>
      <c r="AE25" s="34"/>
      <c r="AF25" s="34"/>
      <c r="AG25" s="34"/>
      <c r="AH25" s="113"/>
      <c r="AI25" s="114"/>
      <c r="AK25" s="115" t="s">
        <v>151</v>
      </c>
      <c r="AL25" s="116" t="n">
        <f aca="false">J56</f>
        <v>45971.0833333333</v>
      </c>
      <c r="AV25" s="234" t="s">
        <v>220</v>
      </c>
      <c r="AW25" s="116" t="n">
        <f aca="false">150000+73595+376405</f>
        <v>600000</v>
      </c>
      <c r="CN25" s="201" t="s">
        <v>163</v>
      </c>
      <c r="CO25" s="235" t="n">
        <f aca="false">CO24*25%</f>
        <v>-251556.825</v>
      </c>
      <c r="DJ25" s="212" t="s">
        <v>80</v>
      </c>
      <c r="DK25" s="213" t="n">
        <f aca="false">SUM(DK22:DK24)</f>
        <v>800000</v>
      </c>
      <c r="DU25" s="33" t="s">
        <v>221</v>
      </c>
      <c r="DV25" s="36" t="n">
        <v>5000</v>
      </c>
      <c r="EF25" s="241" t="s">
        <v>170</v>
      </c>
      <c r="EG25" s="259" t="n">
        <f aca="false">EG23-EG24</f>
        <v>-1020830.85</v>
      </c>
    </row>
    <row r="26" customFormat="false" ht="18" hidden="false" customHeight="false" outlineLevel="0" collapsed="false">
      <c r="A26" s="171" t="s">
        <v>112</v>
      </c>
      <c r="B26" s="171"/>
      <c r="C26" s="171"/>
      <c r="D26" s="171"/>
      <c r="E26" s="171"/>
      <c r="F26" s="171"/>
      <c r="G26" s="171"/>
      <c r="H26" s="276"/>
      <c r="I26" s="280" t="s">
        <v>222</v>
      </c>
      <c r="J26" s="84" t="n">
        <v>355217</v>
      </c>
      <c r="K26" s="148"/>
      <c r="L26" s="268"/>
      <c r="M26" s="2"/>
      <c r="N26" s="229"/>
      <c r="O26" s="229"/>
      <c r="P26" s="229"/>
      <c r="Z26" s="201" t="s">
        <v>138</v>
      </c>
      <c r="AA26" s="202" t="n">
        <f aca="false">AA25-AA24</f>
        <v>-244056.138888889</v>
      </c>
      <c r="AC26" s="117"/>
      <c r="AD26" s="112"/>
      <c r="AE26" s="34"/>
      <c r="AF26" s="34"/>
      <c r="AG26" s="34"/>
      <c r="AH26" s="113"/>
      <c r="AI26" s="114"/>
      <c r="AK26" s="232" t="s">
        <v>159</v>
      </c>
      <c r="AL26" s="233" t="n">
        <f aca="false">J57</f>
        <v>37532.8888888889</v>
      </c>
      <c r="AV26" s="234" t="s">
        <v>223</v>
      </c>
      <c r="AW26" s="116" t="n">
        <f aca="false">384033+55967+17456</f>
        <v>457456</v>
      </c>
      <c r="CN26" s="241" t="s">
        <v>170</v>
      </c>
      <c r="CO26" s="242" t="n">
        <f aca="false">CO24-CO25</f>
        <v>-754670.475</v>
      </c>
      <c r="DJ26" s="66" t="s">
        <v>224</v>
      </c>
      <c r="DK26" s="98" t="n">
        <v>633665</v>
      </c>
    </row>
    <row r="27" customFormat="false" ht="20" hidden="false" customHeight="false" outlineLevel="0" collapsed="false">
      <c r="A27" s="281" t="n">
        <v>44013</v>
      </c>
      <c r="B27" s="282" t="n">
        <v>694653</v>
      </c>
      <c r="C27" s="283" t="s">
        <v>141</v>
      </c>
      <c r="D27" s="188" t="s">
        <v>225</v>
      </c>
      <c r="E27" s="284"/>
      <c r="F27" s="285"/>
      <c r="G27" s="286"/>
      <c r="H27" s="276"/>
      <c r="I27" s="123" t="s">
        <v>79</v>
      </c>
      <c r="J27" s="124" t="n">
        <v>55058</v>
      </c>
      <c r="K27" s="148"/>
      <c r="L27" s="217"/>
      <c r="M27" s="287"/>
      <c r="N27" s="207"/>
      <c r="O27" s="207"/>
      <c r="P27" s="207"/>
      <c r="Z27" s="201" t="s">
        <v>145</v>
      </c>
      <c r="AA27" s="202" t="n">
        <f aca="false">AA26*35%</f>
        <v>-85419.6486111112</v>
      </c>
      <c r="AC27" s="117"/>
      <c r="AD27" s="112"/>
      <c r="AE27" s="34"/>
      <c r="AF27" s="34"/>
      <c r="AG27" s="34"/>
      <c r="AH27" s="113"/>
      <c r="AI27" s="114"/>
      <c r="AK27" s="232" t="s">
        <v>121</v>
      </c>
      <c r="AL27" s="233" t="n">
        <f aca="false">+(56429/3)/3</f>
        <v>6269.88888888889</v>
      </c>
      <c r="AV27" s="234" t="s">
        <v>226</v>
      </c>
      <c r="AW27" s="116" t="n">
        <f aca="false">28044+571956</f>
        <v>600000</v>
      </c>
      <c r="DJ27" s="83" t="s">
        <v>102</v>
      </c>
      <c r="DK27" s="192" t="n">
        <v>73270</v>
      </c>
    </row>
    <row r="28" customFormat="false" ht="20" hidden="false" customHeight="false" outlineLevel="0" collapsed="false">
      <c r="A28" s="288" t="n">
        <v>44013</v>
      </c>
      <c r="B28" s="289" t="n">
        <v>60062</v>
      </c>
      <c r="C28" s="290" t="s">
        <v>227</v>
      </c>
      <c r="D28" s="291" t="s">
        <v>228</v>
      </c>
      <c r="E28" s="292"/>
      <c r="F28" s="293"/>
      <c r="G28" s="294"/>
      <c r="H28" s="276"/>
      <c r="I28" s="295" t="s">
        <v>229</v>
      </c>
      <c r="J28" s="295"/>
      <c r="K28" s="148"/>
      <c r="N28" s="217"/>
      <c r="O28" s="217"/>
      <c r="P28" s="296"/>
      <c r="Z28" s="201" t="s">
        <v>156</v>
      </c>
      <c r="AA28" s="202" t="n">
        <f aca="false">AA26*65%</f>
        <v>-158636.490277778</v>
      </c>
      <c r="AC28" s="117"/>
      <c r="AD28" s="112"/>
      <c r="AE28" s="34"/>
      <c r="AF28" s="34"/>
      <c r="AG28" s="34"/>
      <c r="AH28" s="113"/>
      <c r="AI28" s="114"/>
      <c r="AK28" s="246" t="s">
        <v>175</v>
      </c>
      <c r="AL28" s="247" t="n">
        <f aca="false">AA17</f>
        <v>64627.4444444444</v>
      </c>
      <c r="AV28" s="234" t="s">
        <v>230</v>
      </c>
      <c r="AW28" s="116" t="n">
        <f aca="false">571956+28044</f>
        <v>600000</v>
      </c>
      <c r="DJ28" s="269" t="s">
        <v>137</v>
      </c>
      <c r="DK28" s="203" t="n">
        <v>93065</v>
      </c>
    </row>
    <row r="29" customFormat="false" ht="20" hidden="false" customHeight="false" outlineLevel="0" collapsed="false">
      <c r="A29" s="297" t="n">
        <v>44014</v>
      </c>
      <c r="B29" s="298" t="n">
        <v>455508</v>
      </c>
      <c r="C29" s="299" t="s">
        <v>122</v>
      </c>
      <c r="D29" s="196" t="s">
        <v>231</v>
      </c>
      <c r="E29" s="300"/>
      <c r="F29" s="301"/>
      <c r="G29" s="302"/>
      <c r="H29" s="276"/>
      <c r="I29" s="177" t="s">
        <v>232</v>
      </c>
      <c r="J29" s="116" t="n">
        <v>181004</v>
      </c>
      <c r="K29" s="148"/>
      <c r="N29" s="2"/>
      <c r="O29" s="2"/>
      <c r="P29" s="296"/>
      <c r="Z29" s="201" t="s">
        <v>163</v>
      </c>
      <c r="AA29" s="235" t="n">
        <f aca="false">AA28*25%</f>
        <v>-39659.1225694445</v>
      </c>
      <c r="AC29" s="117"/>
      <c r="AD29" s="112"/>
      <c r="AE29" s="34"/>
      <c r="AF29" s="34"/>
      <c r="AG29" s="34"/>
      <c r="AH29" s="113"/>
      <c r="AI29" s="114"/>
      <c r="AK29" s="209" t="s">
        <v>233</v>
      </c>
      <c r="AL29" s="209"/>
      <c r="AV29" s="303" t="s">
        <v>234</v>
      </c>
      <c r="AW29" s="124" t="n">
        <f aca="false">476124+50000+73876</f>
        <v>600000</v>
      </c>
      <c r="DJ29" s="212" t="s">
        <v>80</v>
      </c>
      <c r="DK29" s="213" t="n">
        <f aca="false">SUM(DK26:DK28)</f>
        <v>800000</v>
      </c>
      <c r="EF29" s="33" t="s">
        <v>235</v>
      </c>
      <c r="EG29" s="84" t="n">
        <v>65000</v>
      </c>
    </row>
    <row r="30" customFormat="false" ht="20" hidden="false" customHeight="false" outlineLevel="0" collapsed="false">
      <c r="A30" s="30" t="s">
        <v>77</v>
      </c>
      <c r="B30" s="181" t="n">
        <f aca="false">SUM(B27:B29)</f>
        <v>1210223</v>
      </c>
      <c r="G30" s="304"/>
      <c r="H30" s="276"/>
      <c r="I30" s="177" t="s">
        <v>236</v>
      </c>
      <c r="J30" s="116" t="n">
        <f aca="false">191769*2</f>
        <v>383538</v>
      </c>
      <c r="K30" s="148"/>
      <c r="N30" s="2"/>
      <c r="O30" s="2"/>
      <c r="P30" s="296"/>
      <c r="Z30" s="241" t="s">
        <v>170</v>
      </c>
      <c r="AA30" s="242" t="n">
        <f aca="false">AA28-AA29</f>
        <v>-118977.367708333</v>
      </c>
      <c r="AC30" s="117"/>
      <c r="AD30" s="112"/>
      <c r="AE30" s="34"/>
      <c r="AF30" s="34"/>
      <c r="AG30" s="34"/>
      <c r="AH30" s="113"/>
      <c r="AI30" s="114"/>
      <c r="AK30" s="107" t="s">
        <v>237</v>
      </c>
      <c r="AL30" s="124" t="n">
        <v>10000</v>
      </c>
      <c r="AV30" s="209" t="s">
        <v>93</v>
      </c>
      <c r="AW30" s="209"/>
      <c r="DJ30" s="66" t="s">
        <v>238</v>
      </c>
      <c r="DK30" s="98" t="n">
        <v>627642</v>
      </c>
      <c r="EF30" s="33" t="s">
        <v>239</v>
      </c>
      <c r="EG30" s="36" t="n">
        <v>22000</v>
      </c>
    </row>
    <row r="31" customFormat="false" ht="22" hidden="false" customHeight="false" outlineLevel="0" collapsed="false">
      <c r="A31" s="305" t="s">
        <v>240</v>
      </c>
      <c r="B31" s="305"/>
      <c r="C31" s="305"/>
      <c r="D31" s="305"/>
      <c r="E31" s="305"/>
      <c r="F31" s="305"/>
      <c r="G31" s="305"/>
      <c r="H31" s="276"/>
      <c r="I31" s="169" t="s">
        <v>241</v>
      </c>
      <c r="J31" s="124" t="n">
        <f aca="false">41365*3</f>
        <v>124095</v>
      </c>
      <c r="K31" s="148"/>
      <c r="N31" s="229"/>
      <c r="O31" s="229"/>
      <c r="P31" s="296"/>
      <c r="Q31" s="28"/>
      <c r="AC31" s="117"/>
      <c r="AD31" s="112"/>
      <c r="AE31" s="34"/>
      <c r="AF31" s="34"/>
      <c r="AG31" s="34"/>
      <c r="AH31" s="113"/>
      <c r="AI31" s="114"/>
      <c r="AK31" s="306" t="s">
        <v>72</v>
      </c>
      <c r="AL31" s="307" t="n">
        <v>10000</v>
      </c>
      <c r="AV31" s="308" t="s">
        <v>242</v>
      </c>
      <c r="AW31" s="309" t="n">
        <v>356770</v>
      </c>
      <c r="DJ31" s="83" t="s">
        <v>102</v>
      </c>
      <c r="DK31" s="192" t="n">
        <v>76609</v>
      </c>
    </row>
    <row r="32" customFormat="false" ht="22" hidden="false" customHeight="false" outlineLevel="0" collapsed="false">
      <c r="A32" s="43" t="n">
        <v>43968</v>
      </c>
      <c r="B32" s="44" t="n">
        <v>386749.881</v>
      </c>
      <c r="C32" s="45" t="s">
        <v>243</v>
      </c>
      <c r="D32" s="45" t="s">
        <v>244</v>
      </c>
      <c r="E32" s="45" t="s">
        <v>181</v>
      </c>
      <c r="F32" s="46" t="n">
        <v>15</v>
      </c>
      <c r="G32" s="206"/>
      <c r="H32" s="276"/>
      <c r="I32" s="310" t="s">
        <v>49</v>
      </c>
      <c r="J32" s="310"/>
      <c r="K32" s="148"/>
      <c r="P32" s="296"/>
      <c r="Q32" s="28"/>
      <c r="AC32" s="117"/>
      <c r="AD32" s="112"/>
      <c r="AE32" s="34"/>
      <c r="AF32" s="34"/>
      <c r="AG32" s="34"/>
      <c r="AH32" s="113"/>
      <c r="AI32" s="114"/>
      <c r="AK32" s="306" t="s">
        <v>237</v>
      </c>
      <c r="AL32" s="307" t="n">
        <v>10000</v>
      </c>
      <c r="AV32" s="311" t="s">
        <v>245</v>
      </c>
      <c r="AW32" s="312" t="n">
        <v>354444</v>
      </c>
      <c r="DJ32" s="269" t="s">
        <v>137</v>
      </c>
      <c r="DK32" s="203" t="n">
        <v>95749</v>
      </c>
    </row>
    <row r="33" customFormat="false" ht="22" hidden="false" customHeight="false" outlineLevel="0" collapsed="false">
      <c r="A33" s="51" t="n">
        <v>43995</v>
      </c>
      <c r="B33" s="105" t="n">
        <v>271320</v>
      </c>
      <c r="C33" s="53" t="s">
        <v>243</v>
      </c>
      <c r="D33" s="53" t="s">
        <v>246</v>
      </c>
      <c r="E33" s="53" t="s">
        <v>87</v>
      </c>
      <c r="F33" s="54" t="n">
        <v>6</v>
      </c>
      <c r="G33" s="216"/>
      <c r="H33" s="276"/>
      <c r="I33" s="106" t="s">
        <v>247</v>
      </c>
      <c r="J33" s="75" t="n">
        <f aca="false">557603/3</f>
        <v>185867.666666667</v>
      </c>
      <c r="K33" s="148"/>
      <c r="P33" s="296"/>
      <c r="Q33" s="28"/>
      <c r="AC33" s="156"/>
      <c r="AD33" s="138"/>
      <c r="AE33" s="108"/>
      <c r="AF33" s="108"/>
      <c r="AG33" s="108"/>
      <c r="AH33" s="139"/>
      <c r="AI33" s="140"/>
      <c r="AK33" s="306" t="s">
        <v>248</v>
      </c>
      <c r="AL33" s="307" t="n">
        <v>10000</v>
      </c>
      <c r="AV33" s="311" t="s">
        <v>249</v>
      </c>
      <c r="AW33" s="312" t="n">
        <v>332970</v>
      </c>
      <c r="DJ33" s="212" t="s">
        <v>80</v>
      </c>
      <c r="DK33" s="213" t="n">
        <f aca="false">SUM(DK30:DK32)</f>
        <v>800000</v>
      </c>
    </row>
    <row r="34" customFormat="false" ht="22" hidden="false" customHeight="false" outlineLevel="0" collapsed="false">
      <c r="A34" s="51" t="n">
        <v>43971</v>
      </c>
      <c r="B34" s="52" t="n">
        <v>678300</v>
      </c>
      <c r="C34" s="53" t="s">
        <v>250</v>
      </c>
      <c r="D34" s="53" t="s">
        <v>251</v>
      </c>
      <c r="E34" s="53" t="s">
        <v>87</v>
      </c>
      <c r="F34" s="54" t="n">
        <v>30</v>
      </c>
      <c r="G34" s="216"/>
      <c r="H34" s="276"/>
      <c r="I34" s="169" t="s">
        <v>81</v>
      </c>
      <c r="J34" s="124" t="n">
        <f aca="false">35659*1</f>
        <v>35659</v>
      </c>
      <c r="K34" s="148"/>
      <c r="P34" s="296"/>
      <c r="Q34" s="28"/>
      <c r="AC34" s="172" t="s">
        <v>77</v>
      </c>
      <c r="AD34" s="173" t="n">
        <f aca="false">SUM(AD12:AD33)</f>
        <v>0</v>
      </c>
      <c r="AK34" s="306" t="s">
        <v>252</v>
      </c>
      <c r="AL34" s="307" t="n">
        <v>5000</v>
      </c>
      <c r="AV34" s="311" t="s">
        <v>253</v>
      </c>
      <c r="AW34" s="312" t="n">
        <v>347105</v>
      </c>
      <c r="DJ34" s="66" t="s">
        <v>254</v>
      </c>
      <c r="DK34" s="98" t="n">
        <v>623863</v>
      </c>
    </row>
    <row r="35" customFormat="false" ht="20" hidden="false" customHeight="false" outlineLevel="0" collapsed="false">
      <c r="A35" s="225" t="n">
        <v>44013</v>
      </c>
      <c r="B35" s="52" t="n">
        <v>83300</v>
      </c>
      <c r="C35" s="226" t="s">
        <v>255</v>
      </c>
      <c r="D35" s="226" t="s">
        <v>256</v>
      </c>
      <c r="E35" s="226" t="s">
        <v>60</v>
      </c>
      <c r="F35" s="313" t="n">
        <v>2</v>
      </c>
      <c r="G35" s="216"/>
      <c r="H35" s="276"/>
      <c r="I35" s="310" t="s">
        <v>257</v>
      </c>
      <c r="J35" s="310"/>
      <c r="K35" s="148"/>
      <c r="Q35" s="28"/>
      <c r="X35" s="6"/>
      <c r="AC35" s="49" t="s">
        <v>240</v>
      </c>
      <c r="AD35" s="49"/>
      <c r="AE35" s="49"/>
      <c r="AF35" s="49"/>
      <c r="AG35" s="49"/>
      <c r="AH35" s="49"/>
      <c r="AI35" s="49"/>
      <c r="AK35" s="178" t="s">
        <v>118</v>
      </c>
      <c r="AL35" s="179" t="n">
        <f aca="false">SUM(AL6:AL30)</f>
        <v>3792533.80555556</v>
      </c>
      <c r="AV35" s="33" t="s">
        <v>258</v>
      </c>
      <c r="AW35" s="116" t="n">
        <v>66000</v>
      </c>
      <c r="DJ35" s="83" t="s">
        <v>102</v>
      </c>
      <c r="DK35" s="192" t="n">
        <v>80348</v>
      </c>
    </row>
    <row r="36" customFormat="false" ht="17" hidden="false" customHeight="false" outlineLevel="0" collapsed="false">
      <c r="A36" s="51" t="n">
        <v>44013</v>
      </c>
      <c r="B36" s="105" t="n">
        <v>47600</v>
      </c>
      <c r="C36" s="53" t="s">
        <v>259</v>
      </c>
      <c r="D36" s="53" t="s">
        <v>173</v>
      </c>
      <c r="E36" s="53" t="s">
        <v>49</v>
      </c>
      <c r="F36" s="54" t="n">
        <v>2</v>
      </c>
      <c r="G36" s="216"/>
      <c r="H36" s="276"/>
      <c r="I36" s="314" t="s">
        <v>260</v>
      </c>
      <c r="J36" s="315" t="n">
        <v>210925</v>
      </c>
      <c r="K36" s="148"/>
      <c r="Q36" s="28"/>
      <c r="X36" s="6"/>
      <c r="AC36" s="64"/>
      <c r="AD36" s="58"/>
      <c r="AE36" s="59"/>
      <c r="AF36" s="59"/>
      <c r="AG36" s="59"/>
      <c r="AH36" s="65"/>
      <c r="AI36" s="47"/>
      <c r="AK36" s="201" t="s">
        <v>261</v>
      </c>
      <c r="AL36" s="202" t="n">
        <f aca="false">AD65</f>
        <v>1578545</v>
      </c>
      <c r="AV36" s="33" t="s">
        <v>262</v>
      </c>
      <c r="AW36" s="116" t="n">
        <v>48951</v>
      </c>
      <c r="DJ36" s="83" t="s">
        <v>137</v>
      </c>
      <c r="DK36" s="203" t="n">
        <v>95789</v>
      </c>
    </row>
    <row r="37" customFormat="false" ht="20" hidden="false" customHeight="false" outlineLevel="0" collapsed="false">
      <c r="A37" s="51" t="n">
        <v>44014</v>
      </c>
      <c r="B37" s="105" t="n">
        <v>47600</v>
      </c>
      <c r="C37" s="53" t="s">
        <v>263</v>
      </c>
      <c r="D37" s="53" t="s">
        <v>195</v>
      </c>
      <c r="E37" s="53" t="s">
        <v>87</v>
      </c>
      <c r="F37" s="316" t="n">
        <v>2</v>
      </c>
      <c r="G37" s="216"/>
      <c r="H37" s="276"/>
      <c r="I37" s="317" t="s">
        <v>264</v>
      </c>
      <c r="J37" s="318" t="n">
        <v>214221</v>
      </c>
      <c r="K37" s="148"/>
      <c r="Q37" s="28"/>
      <c r="X37" s="6"/>
      <c r="AC37" s="117"/>
      <c r="AD37" s="112"/>
      <c r="AE37" s="34"/>
      <c r="AF37" s="34"/>
      <c r="AG37" s="34"/>
      <c r="AH37" s="118"/>
      <c r="AI37" s="319"/>
      <c r="AK37" s="201" t="s">
        <v>138</v>
      </c>
      <c r="AL37" s="202" t="n">
        <f aca="false">AL36-AL35</f>
        <v>-2213988.80555556</v>
      </c>
      <c r="AV37" s="33" t="s">
        <v>265</v>
      </c>
      <c r="AW37" s="116" t="n">
        <v>23000</v>
      </c>
      <c r="DJ37" s="212" t="s">
        <v>80</v>
      </c>
      <c r="DK37" s="213" t="n">
        <f aca="false">SUM(DK34:DK36)</f>
        <v>800000</v>
      </c>
    </row>
    <row r="38" customFormat="false" ht="20" hidden="false" customHeight="true" outlineLevel="0" collapsed="false">
      <c r="A38" s="225" t="n">
        <v>44015</v>
      </c>
      <c r="B38" s="52" t="n">
        <v>107100</v>
      </c>
      <c r="C38" s="226" t="s">
        <v>266</v>
      </c>
      <c r="D38" s="226" t="s">
        <v>109</v>
      </c>
      <c r="E38" s="226" t="s">
        <v>87</v>
      </c>
      <c r="F38" s="313" t="n">
        <v>3</v>
      </c>
      <c r="G38" s="216"/>
      <c r="H38" s="276"/>
      <c r="I38" s="317" t="s">
        <v>267</v>
      </c>
      <c r="J38" s="318" t="n">
        <v>214211</v>
      </c>
      <c r="K38" s="148"/>
      <c r="Q38" s="28"/>
      <c r="X38" s="6"/>
      <c r="AC38" s="117"/>
      <c r="AD38" s="112"/>
      <c r="AE38" s="34"/>
      <c r="AF38" s="34"/>
      <c r="AG38" s="34"/>
      <c r="AH38" s="118"/>
      <c r="AI38" s="319"/>
      <c r="AK38" s="201" t="s">
        <v>145</v>
      </c>
      <c r="AL38" s="202" t="n">
        <f aca="false">AL37*35%</f>
        <v>-774896.081944445</v>
      </c>
      <c r="AV38" s="33" t="s">
        <v>268</v>
      </c>
      <c r="AW38" s="116" t="n">
        <v>43900</v>
      </c>
      <c r="DJ38" s="66" t="s">
        <v>269</v>
      </c>
      <c r="DK38" s="98" t="n">
        <v>603935</v>
      </c>
    </row>
    <row r="39" customFormat="false" ht="17" hidden="false" customHeight="false" outlineLevel="0" collapsed="false">
      <c r="A39" s="225" t="n">
        <v>44017</v>
      </c>
      <c r="B39" s="52" t="n">
        <v>35700</v>
      </c>
      <c r="C39" s="226" t="s">
        <v>266</v>
      </c>
      <c r="D39" s="226" t="s">
        <v>109</v>
      </c>
      <c r="E39" s="226" t="s">
        <v>87</v>
      </c>
      <c r="F39" s="313" t="n">
        <v>1</v>
      </c>
      <c r="G39" s="216"/>
      <c r="H39" s="276"/>
      <c r="I39" s="169" t="s">
        <v>241</v>
      </c>
      <c r="J39" s="124" t="n">
        <f aca="false">58196*3</f>
        <v>174588</v>
      </c>
      <c r="K39" s="148"/>
      <c r="Q39" s="28"/>
      <c r="AC39" s="117"/>
      <c r="AD39" s="112"/>
      <c r="AE39" s="34"/>
      <c r="AF39" s="34"/>
      <c r="AG39" s="34"/>
      <c r="AH39" s="118"/>
      <c r="AI39" s="319"/>
      <c r="AK39" s="201" t="s">
        <v>156</v>
      </c>
      <c r="AL39" s="202" t="n">
        <f aca="false">AL37*65%</f>
        <v>-1439092.72361111</v>
      </c>
      <c r="AV39" s="33" t="s">
        <v>270</v>
      </c>
      <c r="AW39" s="116" t="n">
        <v>70924</v>
      </c>
      <c r="DJ39" s="83" t="s">
        <v>102</v>
      </c>
      <c r="DK39" s="192" t="n">
        <v>100997</v>
      </c>
    </row>
    <row r="40" customFormat="false" ht="20" hidden="false" customHeight="false" outlineLevel="0" collapsed="false">
      <c r="A40" s="51" t="n">
        <v>44012</v>
      </c>
      <c r="B40" s="105" t="n">
        <v>134866.666666508</v>
      </c>
      <c r="C40" s="53" t="s">
        <v>271</v>
      </c>
      <c r="D40" s="53" t="s">
        <v>272</v>
      </c>
      <c r="E40" s="53" t="s">
        <v>60</v>
      </c>
      <c r="F40" s="54" t="n">
        <v>4</v>
      </c>
      <c r="G40" s="216"/>
      <c r="H40" s="276"/>
      <c r="I40" s="310" t="s">
        <v>273</v>
      </c>
      <c r="J40" s="310"/>
      <c r="K40" s="148"/>
      <c r="Q40" s="28"/>
      <c r="AC40" s="156"/>
      <c r="AD40" s="138"/>
      <c r="AE40" s="108"/>
      <c r="AF40" s="108"/>
      <c r="AG40" s="108"/>
      <c r="AH40" s="157"/>
      <c r="AI40" s="198"/>
      <c r="AK40" s="201" t="s">
        <v>163</v>
      </c>
      <c r="AL40" s="202" t="n">
        <f aca="false">AL39*25%</f>
        <v>-359773.180902778</v>
      </c>
      <c r="AV40" s="107" t="s">
        <v>274</v>
      </c>
      <c r="AW40" s="124" t="n">
        <v>100912</v>
      </c>
      <c r="DJ40" s="269" t="s">
        <v>137</v>
      </c>
      <c r="DK40" s="203" t="n">
        <v>95068</v>
      </c>
    </row>
    <row r="41" customFormat="false" ht="20" hidden="false" customHeight="false" outlineLevel="0" collapsed="false">
      <c r="A41" s="225" t="n">
        <v>44018</v>
      </c>
      <c r="B41" s="52" t="n">
        <v>71400</v>
      </c>
      <c r="C41" s="226" t="s">
        <v>259</v>
      </c>
      <c r="D41" s="226" t="s">
        <v>148</v>
      </c>
      <c r="E41" s="226" t="s">
        <v>87</v>
      </c>
      <c r="F41" s="313" t="n">
        <v>3</v>
      </c>
      <c r="G41" s="228"/>
      <c r="H41" s="276"/>
      <c r="I41" s="314" t="s">
        <v>275</v>
      </c>
      <c r="J41" s="315" t="n">
        <v>229066</v>
      </c>
      <c r="Q41" s="28"/>
      <c r="AC41" s="172" t="s">
        <v>77</v>
      </c>
      <c r="AD41" s="320" t="n">
        <f aca="false">SUM(AD36:AD40)</f>
        <v>0</v>
      </c>
      <c r="AE41" s="321"/>
      <c r="AF41" s="322"/>
      <c r="AG41" s="322"/>
      <c r="AH41" s="323"/>
      <c r="AI41" s="324"/>
      <c r="AK41" s="325" t="s">
        <v>170</v>
      </c>
      <c r="AL41" s="202" t="n">
        <f aca="false">AL39-AL40</f>
        <v>-1079319.54270833</v>
      </c>
      <c r="AV41" s="178" t="s">
        <v>118</v>
      </c>
      <c r="AW41" s="179" t="n">
        <f aca="false">SUM(AW6:AW40)</f>
        <v>11841780</v>
      </c>
      <c r="DJ41" s="212" t="s">
        <v>80</v>
      </c>
      <c r="DK41" s="213" t="n">
        <f aca="false">SUM(DK38:DK40)</f>
        <v>800000</v>
      </c>
    </row>
    <row r="42" customFormat="false" ht="17" hidden="false" customHeight="false" outlineLevel="0" collapsed="false">
      <c r="A42" s="51" t="n">
        <v>44015</v>
      </c>
      <c r="B42" s="105" t="n">
        <v>366520</v>
      </c>
      <c r="C42" s="53" t="s">
        <v>276</v>
      </c>
      <c r="D42" s="53" t="s">
        <v>277</v>
      </c>
      <c r="E42" s="53" t="s">
        <v>278</v>
      </c>
      <c r="F42" s="54" t="n">
        <v>7</v>
      </c>
      <c r="G42" s="216"/>
      <c r="H42" s="276"/>
      <c r="I42" s="317" t="s">
        <v>279</v>
      </c>
      <c r="J42" s="318" t="n">
        <v>229066</v>
      </c>
      <c r="Q42" s="28"/>
      <c r="AC42" s="20" t="s">
        <v>280</v>
      </c>
      <c r="AD42" s="20"/>
      <c r="AE42" s="20"/>
      <c r="AF42" s="20"/>
      <c r="AG42" s="20"/>
      <c r="AH42" s="20"/>
      <c r="AI42" s="20"/>
      <c r="AK42" s="144"/>
      <c r="AL42" s="326"/>
      <c r="AV42" s="190" t="s">
        <v>129</v>
      </c>
      <c r="AW42" s="260" t="n">
        <f aca="false">AO7</f>
        <v>0</v>
      </c>
      <c r="DJ42" s="66" t="s">
        <v>281</v>
      </c>
      <c r="DK42" s="98" t="n">
        <v>640423</v>
      </c>
    </row>
    <row r="43" customFormat="false" ht="16" hidden="false" customHeight="false" outlineLevel="0" collapsed="false">
      <c r="A43" s="51" t="n">
        <v>44042</v>
      </c>
      <c r="B43" s="52" t="n">
        <v>349860</v>
      </c>
      <c r="C43" s="53" t="s">
        <v>282</v>
      </c>
      <c r="D43" s="53" t="s">
        <v>283</v>
      </c>
      <c r="E43" s="53" t="s">
        <v>284</v>
      </c>
      <c r="F43" s="54" t="n">
        <v>7</v>
      </c>
      <c r="G43" s="216"/>
      <c r="H43" s="276"/>
      <c r="I43" s="317" t="s">
        <v>285</v>
      </c>
      <c r="J43" s="318" t="n">
        <v>213316</v>
      </c>
      <c r="Q43" s="28"/>
      <c r="AC43" s="64"/>
      <c r="AD43" s="58"/>
      <c r="AE43" s="59"/>
      <c r="AF43" s="59"/>
      <c r="AG43" s="59"/>
      <c r="AH43" s="65"/>
      <c r="AI43" s="61"/>
      <c r="AV43" s="201" t="s">
        <v>138</v>
      </c>
      <c r="AW43" s="243" t="n">
        <f aca="false">AW42-AW41</f>
        <v>-11841780</v>
      </c>
      <c r="DJ43" s="83" t="s">
        <v>102</v>
      </c>
      <c r="DK43" s="192" t="n">
        <v>63788</v>
      </c>
    </row>
    <row r="44" customFormat="false" ht="17" hidden="false" customHeight="false" outlineLevel="0" collapsed="false">
      <c r="A44" s="51" t="n">
        <v>44018</v>
      </c>
      <c r="B44" s="105" t="n">
        <v>124950</v>
      </c>
      <c r="C44" s="53" t="s">
        <v>255</v>
      </c>
      <c r="D44" s="53" t="s">
        <v>286</v>
      </c>
      <c r="E44" s="53" t="s">
        <v>60</v>
      </c>
      <c r="F44" s="54" t="n">
        <v>3</v>
      </c>
      <c r="G44" s="216"/>
      <c r="H44" s="276"/>
      <c r="I44" s="317" t="s">
        <v>287</v>
      </c>
      <c r="J44" s="318" t="n">
        <f aca="false">211787</f>
        <v>211787</v>
      </c>
      <c r="Q44" s="28"/>
      <c r="AC44" s="117"/>
      <c r="AD44" s="112"/>
      <c r="AE44" s="34"/>
      <c r="AF44" s="34"/>
      <c r="AG44" s="34"/>
      <c r="AH44" s="118"/>
      <c r="AI44" s="114"/>
      <c r="AV44" s="201" t="s">
        <v>145</v>
      </c>
      <c r="AW44" s="243" t="n">
        <f aca="false">AW43*35%</f>
        <v>-4144623</v>
      </c>
      <c r="DJ44" s="269" t="s">
        <v>137</v>
      </c>
      <c r="DK44" s="203" t="n">
        <v>95789</v>
      </c>
    </row>
    <row r="45" customFormat="false" ht="20" hidden="false" customHeight="false" outlineLevel="0" collapsed="false">
      <c r="A45" s="51" t="n">
        <v>44019</v>
      </c>
      <c r="B45" s="105" t="n">
        <v>728297.136</v>
      </c>
      <c r="C45" s="53" t="s">
        <v>288</v>
      </c>
      <c r="D45" s="327" t="s">
        <v>289</v>
      </c>
      <c r="E45" s="53" t="s">
        <v>87</v>
      </c>
      <c r="F45" s="54" t="n">
        <v>18</v>
      </c>
      <c r="G45" s="216"/>
      <c r="H45" s="276"/>
      <c r="I45" s="169" t="s">
        <v>213</v>
      </c>
      <c r="J45" s="124" t="n">
        <f aca="false">44788*4</f>
        <v>179152</v>
      </c>
      <c r="Q45" s="28"/>
      <c r="AC45" s="117"/>
      <c r="AD45" s="112"/>
      <c r="AE45" s="34"/>
      <c r="AF45" s="34"/>
      <c r="AG45" s="34"/>
      <c r="AH45" s="113"/>
      <c r="AI45" s="114"/>
      <c r="AV45" s="201" t="s">
        <v>156</v>
      </c>
      <c r="AW45" s="243" t="n">
        <f aca="false">AW43*65%</f>
        <v>-7697157</v>
      </c>
      <c r="BP45" s="6"/>
      <c r="DJ45" s="212" t="s">
        <v>80</v>
      </c>
      <c r="DK45" s="213" t="n">
        <f aca="false">SUM(DK42:DK44)</f>
        <v>800000</v>
      </c>
    </row>
    <row r="46" customFormat="false" ht="20" hidden="false" customHeight="false" outlineLevel="0" collapsed="false">
      <c r="A46" s="51" t="n">
        <v>44021</v>
      </c>
      <c r="B46" s="105" t="n">
        <v>47600</v>
      </c>
      <c r="C46" s="53" t="s">
        <v>263</v>
      </c>
      <c r="D46" s="53" t="s">
        <v>97</v>
      </c>
      <c r="E46" s="53" t="s">
        <v>87</v>
      </c>
      <c r="F46" s="316" t="n">
        <v>2</v>
      </c>
      <c r="G46" s="216"/>
      <c r="H46" s="276"/>
      <c r="I46" s="178" t="s">
        <v>77</v>
      </c>
      <c r="J46" s="320" t="n">
        <f aca="false">SUM(J7:J45)</f>
        <v>7332936.66666667</v>
      </c>
      <c r="Q46" s="28"/>
      <c r="AC46" s="117"/>
      <c r="AD46" s="112"/>
      <c r="AE46" s="34"/>
      <c r="AF46" s="34"/>
      <c r="AG46" s="34"/>
      <c r="AH46" s="113"/>
      <c r="AI46" s="114"/>
      <c r="AV46" s="201" t="s">
        <v>163</v>
      </c>
      <c r="AW46" s="256" t="n">
        <f aca="false">AW45*25%</f>
        <v>-1924289.25</v>
      </c>
      <c r="BP46" s="6"/>
      <c r="DH46" s="6"/>
      <c r="DJ46" s="328" t="s">
        <v>93</v>
      </c>
      <c r="DK46" s="329"/>
    </row>
    <row r="47" customFormat="false" ht="20" hidden="false" customHeight="false" outlineLevel="0" collapsed="false">
      <c r="A47" s="51" t="n">
        <v>44020</v>
      </c>
      <c r="B47" s="105" t="n">
        <v>124950</v>
      </c>
      <c r="C47" s="53" t="s">
        <v>255</v>
      </c>
      <c r="D47" s="53" t="s">
        <v>286</v>
      </c>
      <c r="E47" s="53" t="s">
        <v>60</v>
      </c>
      <c r="F47" s="54" t="n">
        <v>3</v>
      </c>
      <c r="G47" s="216"/>
      <c r="H47" s="276"/>
      <c r="I47" s="330" t="s">
        <v>91</v>
      </c>
      <c r="J47" s="330"/>
      <c r="Q47" s="28"/>
      <c r="AC47" s="156"/>
      <c r="AD47" s="138"/>
      <c r="AE47" s="108"/>
      <c r="AF47" s="108"/>
      <c r="AG47" s="108"/>
      <c r="AH47" s="139"/>
      <c r="AI47" s="140"/>
      <c r="AV47" s="241" t="s">
        <v>170</v>
      </c>
      <c r="AW47" s="259" t="n">
        <f aca="false">AW45-AW46</f>
        <v>-5772867.75</v>
      </c>
      <c r="BP47" s="6"/>
      <c r="DH47" s="6"/>
      <c r="DJ47" s="62" t="s">
        <v>290</v>
      </c>
      <c r="DK47" s="75" t="n">
        <v>420000</v>
      </c>
    </row>
    <row r="48" customFormat="false" ht="17" hidden="false" customHeight="false" outlineLevel="0" collapsed="false">
      <c r="A48" s="51" t="n">
        <v>44022</v>
      </c>
      <c r="B48" s="105" t="n">
        <v>366520</v>
      </c>
      <c r="C48" s="53" t="s">
        <v>276</v>
      </c>
      <c r="D48" s="53" t="s">
        <v>277</v>
      </c>
      <c r="E48" s="53" t="s">
        <v>60</v>
      </c>
      <c r="F48" s="54" t="n">
        <v>7</v>
      </c>
      <c r="G48" s="216"/>
      <c r="H48" s="276"/>
      <c r="I48" s="104" t="s">
        <v>291</v>
      </c>
      <c r="J48" s="75" t="n">
        <v>600000</v>
      </c>
      <c r="Q48" s="28"/>
      <c r="AC48" s="331" t="s">
        <v>77</v>
      </c>
      <c r="AD48" s="181" t="n">
        <f aca="false">SUM(AD43:AD47)</f>
        <v>0</v>
      </c>
      <c r="AE48" s="321"/>
      <c r="AF48" s="322"/>
      <c r="AG48" s="322"/>
      <c r="AH48" s="322"/>
      <c r="AI48" s="332"/>
      <c r="AT48" s="6"/>
      <c r="BP48" s="6"/>
      <c r="DH48" s="6"/>
      <c r="DJ48" s="33" t="s">
        <v>292</v>
      </c>
      <c r="DK48" s="116" t="n">
        <v>100912</v>
      </c>
    </row>
    <row r="49" customFormat="false" ht="17" hidden="false" customHeight="true" outlineLevel="0" collapsed="false">
      <c r="A49" s="51" t="n">
        <v>44018</v>
      </c>
      <c r="B49" s="105" t="n">
        <v>850000</v>
      </c>
      <c r="C49" s="53" t="s">
        <v>293</v>
      </c>
      <c r="D49" s="53" t="s">
        <v>294</v>
      </c>
      <c r="E49" s="53" t="s">
        <v>60</v>
      </c>
      <c r="F49" s="54" t="n">
        <v>30</v>
      </c>
      <c r="G49" s="216"/>
      <c r="H49" s="276"/>
      <c r="I49" s="115" t="s">
        <v>295</v>
      </c>
      <c r="J49" s="333" t="n">
        <f aca="false">350000</f>
        <v>350000</v>
      </c>
      <c r="AC49" s="49" t="s">
        <v>93</v>
      </c>
      <c r="AD49" s="49"/>
      <c r="AE49" s="49"/>
      <c r="AF49" s="49"/>
      <c r="AG49" s="49"/>
      <c r="AH49" s="49"/>
      <c r="AI49" s="49"/>
      <c r="AT49" s="6"/>
      <c r="BE49" s="6"/>
      <c r="DH49" s="6"/>
      <c r="DJ49" s="33" t="s">
        <v>296</v>
      </c>
      <c r="DK49" s="116" t="n">
        <v>42600</v>
      </c>
    </row>
    <row r="50" customFormat="false" ht="16" hidden="false" customHeight="false" outlineLevel="0" collapsed="false">
      <c r="A50" s="51" t="n">
        <v>44018</v>
      </c>
      <c r="B50" s="105" t="n">
        <v>850000</v>
      </c>
      <c r="C50" s="53" t="s">
        <v>293</v>
      </c>
      <c r="D50" s="53" t="s">
        <v>297</v>
      </c>
      <c r="E50" s="53" t="s">
        <v>298</v>
      </c>
      <c r="F50" s="54" t="n">
        <v>30</v>
      </c>
      <c r="G50" s="216"/>
      <c r="H50" s="276"/>
      <c r="I50" s="115" t="s">
        <v>299</v>
      </c>
      <c r="J50" s="116" t="n">
        <v>92746</v>
      </c>
      <c r="AC50" s="64"/>
      <c r="AD50" s="58"/>
      <c r="AE50" s="59"/>
      <c r="AF50" s="59"/>
      <c r="AG50" s="59"/>
      <c r="AH50" s="60"/>
      <c r="AI50" s="61"/>
      <c r="AT50" s="6"/>
      <c r="AV50" s="83" t="s">
        <v>300</v>
      </c>
      <c r="AW50" s="36" t="n">
        <v>22008</v>
      </c>
      <c r="BE50" s="6"/>
      <c r="CA50" s="6"/>
      <c r="DJ50" s="33" t="s">
        <v>301</v>
      </c>
      <c r="DK50" s="116" t="n">
        <v>45600</v>
      </c>
    </row>
    <row r="51" customFormat="false" ht="16" hidden="false" customHeight="false" outlineLevel="0" collapsed="false">
      <c r="A51" s="225" t="n">
        <v>44026</v>
      </c>
      <c r="B51" s="52" t="n">
        <v>63070</v>
      </c>
      <c r="C51" s="226" t="s">
        <v>302</v>
      </c>
      <c r="D51" s="226" t="s">
        <v>303</v>
      </c>
      <c r="E51" s="226" t="s">
        <v>298</v>
      </c>
      <c r="F51" s="313" t="n">
        <v>1</v>
      </c>
      <c r="G51" s="216"/>
      <c r="I51" s="334" t="s">
        <v>175</v>
      </c>
      <c r="J51" s="233" t="n">
        <f aca="false">((((450000+131647)))/3)/3</f>
        <v>64627.4444444444</v>
      </c>
      <c r="AC51" s="117"/>
      <c r="AD51" s="112"/>
      <c r="AE51" s="34"/>
      <c r="AF51" s="34"/>
      <c r="AG51" s="34"/>
      <c r="AH51" s="118"/>
      <c r="AI51" s="319"/>
      <c r="AT51" s="6"/>
      <c r="AV51" s="83" t="s">
        <v>300</v>
      </c>
      <c r="AW51" s="36" t="n">
        <v>23372</v>
      </c>
      <c r="BE51" s="6"/>
      <c r="CA51" s="6"/>
      <c r="DJ51" s="33" t="s">
        <v>304</v>
      </c>
      <c r="DK51" s="116" t="n">
        <v>190000</v>
      </c>
    </row>
    <row r="52" customFormat="false" ht="19" hidden="false" customHeight="true" outlineLevel="0" collapsed="false">
      <c r="A52" s="225" t="n">
        <v>44027</v>
      </c>
      <c r="B52" s="52" t="n">
        <v>126140</v>
      </c>
      <c r="C52" s="226" t="s">
        <v>302</v>
      </c>
      <c r="D52" s="226" t="s">
        <v>303</v>
      </c>
      <c r="E52" s="226" t="s">
        <v>298</v>
      </c>
      <c r="F52" s="313" t="n">
        <v>2</v>
      </c>
      <c r="G52" s="216"/>
      <c r="I52" s="115" t="s">
        <v>305</v>
      </c>
      <c r="J52" s="116" t="n">
        <f aca="false">350000/2</f>
        <v>175000</v>
      </c>
      <c r="AC52" s="117"/>
      <c r="AD52" s="112"/>
      <c r="AE52" s="34"/>
      <c r="AF52" s="34"/>
      <c r="AG52" s="34"/>
      <c r="AH52" s="118"/>
      <c r="AI52" s="319"/>
      <c r="AV52" s="83" t="s">
        <v>306</v>
      </c>
      <c r="AW52" s="36" t="n">
        <f aca="false">4290*4</f>
        <v>17160</v>
      </c>
      <c r="BE52" s="6"/>
      <c r="CA52" s="6"/>
      <c r="DJ52" s="33" t="s">
        <v>307</v>
      </c>
      <c r="DK52" s="116" t="n">
        <v>12300</v>
      </c>
    </row>
    <row r="53" customFormat="false" ht="17" hidden="false" customHeight="false" outlineLevel="0" collapsed="false">
      <c r="A53" s="51" t="n">
        <v>44022</v>
      </c>
      <c r="B53" s="52" t="n">
        <v>142800</v>
      </c>
      <c r="C53" s="53" t="s">
        <v>266</v>
      </c>
      <c r="D53" s="53" t="s">
        <v>73</v>
      </c>
      <c r="E53" s="53" t="s">
        <v>49</v>
      </c>
      <c r="F53" s="54" t="n">
        <v>4</v>
      </c>
      <c r="G53" s="216"/>
      <c r="I53" s="115" t="s">
        <v>121</v>
      </c>
      <c r="J53" s="116" t="n">
        <f aca="false">89621/30*15</f>
        <v>44810.5</v>
      </c>
      <c r="K53" s="148"/>
      <c r="AC53" s="117"/>
      <c r="AD53" s="112"/>
      <c r="AE53" s="34"/>
      <c r="AF53" s="34"/>
      <c r="AG53" s="34"/>
      <c r="AH53" s="118"/>
      <c r="AI53" s="319"/>
      <c r="AV53" s="83" t="s">
        <v>308</v>
      </c>
      <c r="AW53" s="36" t="n">
        <f aca="false">1050+1050+2600+2600</f>
        <v>7300</v>
      </c>
      <c r="CA53" s="6"/>
      <c r="DJ53" s="107" t="s">
        <v>309</v>
      </c>
      <c r="DK53" s="124" t="e">
        <f aca="false">#REF!</f>
        <v>#REF!</v>
      </c>
    </row>
    <row r="54" customFormat="false" ht="17" hidden="false" customHeight="false" outlineLevel="0" collapsed="false">
      <c r="A54" s="51" t="n">
        <v>44030</v>
      </c>
      <c r="B54" s="52" t="n">
        <v>297500</v>
      </c>
      <c r="C54" s="53" t="s">
        <v>310</v>
      </c>
      <c r="D54" s="53" t="s">
        <v>311</v>
      </c>
      <c r="E54" s="53" t="s">
        <v>87</v>
      </c>
      <c r="F54" s="54" t="n">
        <v>10</v>
      </c>
      <c r="G54" s="216"/>
      <c r="I54" s="115" t="s">
        <v>312</v>
      </c>
      <c r="J54" s="233" t="n">
        <f aca="false">400000/3</f>
        <v>133333.333333333</v>
      </c>
      <c r="K54" s="148"/>
      <c r="Y54" s="2"/>
      <c r="AC54" s="117"/>
      <c r="AD54" s="112"/>
      <c r="AE54" s="34"/>
      <c r="AF54" s="34"/>
      <c r="AG54" s="34"/>
      <c r="AH54" s="113"/>
      <c r="AI54" s="114"/>
      <c r="AV54" s="83" t="s">
        <v>313</v>
      </c>
      <c r="AW54" s="36" t="n">
        <v>14320</v>
      </c>
      <c r="DJ54" s="335" t="s">
        <v>118</v>
      </c>
      <c r="DK54" s="173" t="e">
        <f aca="false">SUM(DK47:DK53)</f>
        <v>#REF!</v>
      </c>
    </row>
    <row r="55" customFormat="false" ht="17" hidden="false" customHeight="false" outlineLevel="0" collapsed="false">
      <c r="A55" s="51" t="n">
        <v>44019</v>
      </c>
      <c r="B55" s="52" t="n">
        <v>642600</v>
      </c>
      <c r="C55" s="53" t="s">
        <v>282</v>
      </c>
      <c r="D55" s="53" t="s">
        <v>283</v>
      </c>
      <c r="E55" s="53" t="s">
        <v>284</v>
      </c>
      <c r="F55" s="54" t="n">
        <v>15</v>
      </c>
      <c r="G55" s="216"/>
      <c r="I55" s="115" t="s">
        <v>314</v>
      </c>
      <c r="J55" s="116" t="n">
        <f aca="false">124005/3</f>
        <v>41335</v>
      </c>
      <c r="K55" s="148"/>
      <c r="Y55" s="2"/>
      <c r="AC55" s="117"/>
      <c r="AD55" s="112"/>
      <c r="AE55" s="34"/>
      <c r="AF55" s="34"/>
      <c r="AG55" s="34"/>
      <c r="AH55" s="113"/>
      <c r="AI55" s="114"/>
      <c r="AV55" s="83" t="s">
        <v>315</v>
      </c>
      <c r="AW55" s="36" t="n">
        <v>27004</v>
      </c>
      <c r="DJ55" s="336" t="s">
        <v>80</v>
      </c>
      <c r="DK55" s="337" t="e">
        <f aca="false">DK54+DK45+DK41+DK37+DK33+DK29+DK25+DK21+DK17+DK13+DK8</f>
        <v>#REF!</v>
      </c>
    </row>
    <row r="56" customFormat="false" ht="17" hidden="false" customHeight="false" outlineLevel="0" collapsed="false">
      <c r="A56" s="51" t="n">
        <v>44034</v>
      </c>
      <c r="B56" s="105" t="n">
        <v>124950</v>
      </c>
      <c r="C56" s="53" t="s">
        <v>255</v>
      </c>
      <c r="D56" s="53" t="s">
        <v>316</v>
      </c>
      <c r="E56" s="53" t="s">
        <v>60</v>
      </c>
      <c r="F56" s="54" t="n">
        <v>3</v>
      </c>
      <c r="G56" s="216"/>
      <c r="I56" s="334" t="s">
        <v>317</v>
      </c>
      <c r="J56" s="233" t="n">
        <f aca="false">(((430000+121653)/4)/3)</f>
        <v>45971.0833333333</v>
      </c>
      <c r="Y56" s="2"/>
      <c r="AC56" s="156"/>
      <c r="AD56" s="138"/>
      <c r="AE56" s="109"/>
      <c r="AF56" s="108"/>
      <c r="AG56" s="108"/>
      <c r="AH56" s="139"/>
      <c r="AI56" s="140"/>
      <c r="AV56" s="269" t="s">
        <v>318</v>
      </c>
      <c r="AW56" s="110" t="n">
        <v>20000</v>
      </c>
      <c r="DJ56" s="190" t="s">
        <v>129</v>
      </c>
      <c r="DK56" s="191" t="n">
        <f aca="false">DC7</f>
        <v>0</v>
      </c>
    </row>
    <row r="57" customFormat="false" ht="17" hidden="false" customHeight="false" outlineLevel="0" collapsed="false">
      <c r="A57" s="338" t="n">
        <v>43998</v>
      </c>
      <c r="B57" s="52" t="n">
        <v>0</v>
      </c>
      <c r="C57" s="53" t="s">
        <v>319</v>
      </c>
      <c r="D57" s="53" t="s">
        <v>59</v>
      </c>
      <c r="E57" s="53" t="s">
        <v>60</v>
      </c>
      <c r="F57" s="293"/>
      <c r="G57" s="216"/>
      <c r="I57" s="334" t="s">
        <v>320</v>
      </c>
      <c r="J57" s="233" t="n">
        <f aca="false">+((337796/3)/3)</f>
        <v>37532.8888888889</v>
      </c>
      <c r="K57" s="2"/>
      <c r="Y57" s="2"/>
      <c r="AC57" s="172" t="s">
        <v>77</v>
      </c>
      <c r="AD57" s="173" t="n">
        <f aca="false">SUM(AD50:AD56)</f>
        <v>0</v>
      </c>
      <c r="AI57" s="339"/>
      <c r="DJ57" s="201" t="s">
        <v>138</v>
      </c>
      <c r="DK57" s="202" t="e">
        <f aca="false">DK56-DK55</f>
        <v>#REF!</v>
      </c>
    </row>
    <row r="58" customFormat="false" ht="17" hidden="false" customHeight="false" outlineLevel="0" collapsed="false">
      <c r="A58" s="51" t="n">
        <v>44022</v>
      </c>
      <c r="B58" s="105" t="n">
        <v>157080</v>
      </c>
      <c r="C58" s="53" t="s">
        <v>276</v>
      </c>
      <c r="D58" s="53" t="s">
        <v>277</v>
      </c>
      <c r="E58" s="53" t="s">
        <v>60</v>
      </c>
      <c r="F58" s="54" t="n">
        <v>3</v>
      </c>
      <c r="G58" s="216"/>
      <c r="I58" s="232" t="s">
        <v>121</v>
      </c>
      <c r="J58" s="233" t="n">
        <f aca="false">+(78131/3)/3</f>
        <v>8681.22222222222</v>
      </c>
      <c r="K58" s="2"/>
      <c r="AC58" s="49" t="s">
        <v>321</v>
      </c>
      <c r="AD58" s="49"/>
      <c r="AE58" s="49"/>
      <c r="AF58" s="49"/>
      <c r="AG58" s="49"/>
      <c r="AH58" s="49"/>
      <c r="AI58" s="49"/>
      <c r="DJ58" s="201" t="s">
        <v>145</v>
      </c>
      <c r="DK58" s="202" t="e">
        <f aca="false">DK57*35%</f>
        <v>#REF!</v>
      </c>
    </row>
    <row r="59" customFormat="false" ht="16" hidden="false" customHeight="false" outlineLevel="0" collapsed="false">
      <c r="A59" s="51" t="n">
        <v>44035</v>
      </c>
      <c r="B59" s="105" t="n">
        <v>921985.8199881</v>
      </c>
      <c r="C59" s="53" t="s">
        <v>322</v>
      </c>
      <c r="D59" s="53" t="s">
        <v>323</v>
      </c>
      <c r="E59" s="53" t="s">
        <v>60</v>
      </c>
      <c r="F59" s="54" t="n">
        <v>30</v>
      </c>
      <c r="G59" s="216"/>
      <c r="I59" s="334" t="s">
        <v>324</v>
      </c>
      <c r="J59" s="233" t="n">
        <v>167449</v>
      </c>
      <c r="K59" s="2"/>
      <c r="AC59" s="185" t="n">
        <v>44018</v>
      </c>
      <c r="AD59" s="58" t="n">
        <v>915283</v>
      </c>
      <c r="AE59" s="187" t="s">
        <v>141</v>
      </c>
      <c r="AF59" s="188" t="s">
        <v>325</v>
      </c>
      <c r="AG59" s="96"/>
      <c r="AH59" s="340"/>
      <c r="AI59" s="341"/>
      <c r="DJ59" s="201" t="s">
        <v>156</v>
      </c>
      <c r="DK59" s="202" t="e">
        <f aca="false">DK57*65%</f>
        <v>#REF!</v>
      </c>
    </row>
    <row r="60" customFormat="false" ht="16" hidden="false" customHeight="false" outlineLevel="0" collapsed="false">
      <c r="A60" s="225" t="n">
        <v>44029</v>
      </c>
      <c r="B60" s="52" t="n">
        <v>180880</v>
      </c>
      <c r="C60" s="226" t="s">
        <v>266</v>
      </c>
      <c r="D60" s="226" t="s">
        <v>326</v>
      </c>
      <c r="E60" s="226" t="s">
        <v>181</v>
      </c>
      <c r="F60" s="313" t="n">
        <v>4</v>
      </c>
      <c r="G60" s="216"/>
      <c r="I60" s="334" t="s">
        <v>121</v>
      </c>
      <c r="J60" s="233" t="n">
        <v>50850</v>
      </c>
      <c r="K60" s="2"/>
      <c r="AC60" s="342" t="n">
        <v>44014</v>
      </c>
      <c r="AD60" s="112" t="n">
        <v>177310</v>
      </c>
      <c r="AE60" s="34" t="s">
        <v>174</v>
      </c>
      <c r="AF60" s="291" t="s">
        <v>327</v>
      </c>
      <c r="AG60" s="343"/>
      <c r="AH60" s="344"/>
      <c r="AI60" s="345"/>
      <c r="DJ60" s="201" t="s">
        <v>163</v>
      </c>
      <c r="DK60" s="235" t="e">
        <f aca="false">DK59*25%</f>
        <v>#REF!</v>
      </c>
    </row>
    <row r="61" customFormat="false" ht="17" hidden="false" customHeight="false" outlineLevel="0" collapsed="false">
      <c r="A61" s="51" t="n">
        <v>44007</v>
      </c>
      <c r="B61" s="105" t="n">
        <v>952011.9</v>
      </c>
      <c r="C61" s="53" t="s">
        <v>288</v>
      </c>
      <c r="D61" s="53" t="s">
        <v>328</v>
      </c>
      <c r="E61" s="53" t="s">
        <v>60</v>
      </c>
      <c r="F61" s="54" t="n">
        <v>30</v>
      </c>
      <c r="G61" s="216"/>
      <c r="I61" s="334" t="s">
        <v>329</v>
      </c>
      <c r="J61" s="233" t="n">
        <v>292000</v>
      </c>
      <c r="AC61" s="117" t="n">
        <v>44013</v>
      </c>
      <c r="AD61" s="112" t="n">
        <v>216681</v>
      </c>
      <c r="AE61" s="34" t="s">
        <v>227</v>
      </c>
      <c r="AF61" s="34" t="s">
        <v>330</v>
      </c>
      <c r="AG61" s="34"/>
      <c r="AH61" s="34"/>
      <c r="AI61" s="346"/>
      <c r="DJ61" s="241" t="s">
        <v>170</v>
      </c>
      <c r="DK61" s="242" t="e">
        <f aca="false">DK59-DK60</f>
        <v>#REF!</v>
      </c>
    </row>
    <row r="62" customFormat="false" ht="16" hidden="false" customHeight="false" outlineLevel="0" collapsed="false">
      <c r="A62" s="51" t="n">
        <v>44007</v>
      </c>
      <c r="B62" s="105" t="n">
        <v>952011.9</v>
      </c>
      <c r="C62" s="53" t="s">
        <v>288</v>
      </c>
      <c r="D62" s="53" t="s">
        <v>256</v>
      </c>
      <c r="E62" s="53" t="s">
        <v>60</v>
      </c>
      <c r="F62" s="54" t="n">
        <v>30</v>
      </c>
      <c r="G62" s="216"/>
      <c r="I62" s="334" t="s">
        <v>121</v>
      </c>
      <c r="J62" s="233" t="n">
        <v>85469</v>
      </c>
      <c r="AC62" s="342" t="n">
        <v>44035</v>
      </c>
      <c r="AD62" s="112" t="n">
        <v>269271</v>
      </c>
      <c r="AE62" s="34" t="s">
        <v>122</v>
      </c>
      <c r="AF62" s="291" t="s">
        <v>331</v>
      </c>
      <c r="AG62" s="343"/>
      <c r="AH62" s="344"/>
      <c r="AI62" s="345"/>
      <c r="AU62" s="2"/>
      <c r="BF62" s="2"/>
      <c r="BQ62" s="2"/>
      <c r="CB62" s="2"/>
      <c r="DI62" s="2"/>
    </row>
    <row r="63" customFormat="false" ht="17" hidden="false" customHeight="false" outlineLevel="0" collapsed="false">
      <c r="A63" s="51" t="n">
        <v>44007</v>
      </c>
      <c r="B63" s="105" t="n">
        <v>952011.9</v>
      </c>
      <c r="C63" s="53" t="s">
        <v>288</v>
      </c>
      <c r="D63" s="53" t="s">
        <v>286</v>
      </c>
      <c r="E63" s="53" t="s">
        <v>60</v>
      </c>
      <c r="F63" s="54" t="n">
        <v>30</v>
      </c>
      <c r="G63" s="216"/>
      <c r="I63" s="232" t="s">
        <v>332</v>
      </c>
      <c r="J63" s="233" t="n">
        <f aca="false">400000/2</f>
        <v>200000</v>
      </c>
      <c r="AC63" s="193"/>
      <c r="AD63" s="138"/>
      <c r="AE63" s="195"/>
      <c r="AF63" s="196"/>
      <c r="AG63" s="197"/>
      <c r="AH63" s="347"/>
      <c r="AI63" s="348"/>
      <c r="AU63" s="2"/>
      <c r="BF63" s="2"/>
      <c r="BQ63" s="2"/>
      <c r="CB63" s="2"/>
      <c r="DI63" s="2"/>
    </row>
    <row r="64" customFormat="false" ht="17" hidden="false" customHeight="false" outlineLevel="0" collapsed="false">
      <c r="A64" s="51" t="n">
        <v>44034</v>
      </c>
      <c r="B64" s="52" t="n">
        <v>257040</v>
      </c>
      <c r="C64" s="53" t="s">
        <v>282</v>
      </c>
      <c r="D64" s="53" t="s">
        <v>303</v>
      </c>
      <c r="E64" s="53" t="s">
        <v>284</v>
      </c>
      <c r="F64" s="54" t="n">
        <v>6</v>
      </c>
      <c r="G64" s="349"/>
      <c r="I64" s="350" t="s">
        <v>333</v>
      </c>
      <c r="J64" s="351" t="n">
        <f aca="false">112480/2</f>
        <v>56240</v>
      </c>
      <c r="AC64" s="172" t="s">
        <v>77</v>
      </c>
      <c r="AD64" s="173" t="n">
        <f aca="false">SUM(AD59:AD63)</f>
        <v>1578545</v>
      </c>
      <c r="AE64" s="5"/>
      <c r="AF64" s="352"/>
      <c r="AG64" s="353"/>
      <c r="AH64" s="353"/>
      <c r="AI64" s="353"/>
      <c r="AU64" s="2"/>
      <c r="BF64" s="2"/>
      <c r="BQ64" s="2"/>
      <c r="CB64" s="2"/>
      <c r="DI64" s="2"/>
    </row>
    <row r="65" customFormat="false" ht="17" hidden="false" customHeight="false" outlineLevel="0" collapsed="false">
      <c r="A65" s="51" t="n">
        <v>44039</v>
      </c>
      <c r="B65" s="105" t="n">
        <v>1011500</v>
      </c>
      <c r="C65" s="53" t="s">
        <v>334</v>
      </c>
      <c r="D65" s="53" t="s">
        <v>335</v>
      </c>
      <c r="E65" s="53" t="s">
        <v>278</v>
      </c>
      <c r="F65" s="316" t="n">
        <v>1</v>
      </c>
      <c r="G65" s="228"/>
      <c r="I65" s="115" t="s">
        <v>336</v>
      </c>
      <c r="J65" s="116" t="n">
        <f aca="false">82800/2</f>
        <v>41400</v>
      </c>
      <c r="AC65" s="354" t="s">
        <v>80</v>
      </c>
      <c r="AD65" s="326" t="n">
        <f aca="false">AD10+AD34+AD48+AD57+AD64+AD41</f>
        <v>1578545</v>
      </c>
      <c r="AU65" s="2"/>
      <c r="BF65" s="2"/>
      <c r="BQ65" s="2"/>
      <c r="CB65" s="2"/>
      <c r="DI65" s="2"/>
    </row>
    <row r="66" customFormat="false" ht="16" hidden="false" customHeight="false" outlineLevel="0" collapsed="false">
      <c r="A66" s="51" t="n">
        <v>44040</v>
      </c>
      <c r="B66" s="105" t="n">
        <v>124950</v>
      </c>
      <c r="C66" s="53" t="s">
        <v>271</v>
      </c>
      <c r="D66" s="53" t="s">
        <v>277</v>
      </c>
      <c r="E66" s="53" t="s">
        <v>60</v>
      </c>
      <c r="F66" s="54" t="n">
        <v>3</v>
      </c>
      <c r="G66" s="216"/>
      <c r="I66" s="355" t="s">
        <v>337</v>
      </c>
      <c r="J66" s="356" t="n">
        <f aca="false">(180001+55576)/2</f>
        <v>117788.5</v>
      </c>
    </row>
    <row r="67" customFormat="false" ht="16" hidden="false" customHeight="false" outlineLevel="0" collapsed="false">
      <c r="A67" s="51" t="n">
        <v>44024</v>
      </c>
      <c r="B67" s="105" t="n">
        <v>1094799.762</v>
      </c>
      <c r="C67" s="53" t="s">
        <v>338</v>
      </c>
      <c r="D67" s="53" t="s">
        <v>339</v>
      </c>
      <c r="E67" s="53" t="s">
        <v>340</v>
      </c>
      <c r="F67" s="54" t="n">
        <v>30</v>
      </c>
      <c r="G67" s="216"/>
      <c r="I67" s="355" t="s">
        <v>341</v>
      </c>
      <c r="J67" s="356" t="n">
        <f aca="false">(156244+50454)/2</f>
        <v>103349</v>
      </c>
      <c r="AG67" s="0" t="s">
        <v>342</v>
      </c>
    </row>
    <row r="68" customFormat="false" ht="16" hidden="false" customHeight="false" outlineLevel="0" collapsed="false">
      <c r="A68" s="51" t="n">
        <v>44043</v>
      </c>
      <c r="B68" s="105" t="n">
        <v>89250</v>
      </c>
      <c r="C68" s="53" t="s">
        <v>343</v>
      </c>
      <c r="D68" s="53" t="s">
        <v>180</v>
      </c>
      <c r="E68" s="53" t="s">
        <v>181</v>
      </c>
      <c r="F68" s="54" t="n">
        <v>3</v>
      </c>
      <c r="G68" s="216"/>
      <c r="I68" s="115" t="s">
        <v>344</v>
      </c>
      <c r="J68" s="116" t="n">
        <f aca="false">119869+20811</f>
        <v>140680</v>
      </c>
    </row>
    <row r="69" customFormat="false" ht="16" hidden="false" customHeight="false" outlineLevel="0" collapsed="false">
      <c r="A69" s="51" t="n">
        <v>44043</v>
      </c>
      <c r="B69" s="105" t="n">
        <v>47600</v>
      </c>
      <c r="C69" s="53" t="s">
        <v>345</v>
      </c>
      <c r="D69" s="53" t="s">
        <v>303</v>
      </c>
      <c r="E69" s="53" t="s">
        <v>298</v>
      </c>
      <c r="F69" s="54" t="n">
        <v>1</v>
      </c>
      <c r="G69" s="216"/>
      <c r="H69" s="353"/>
      <c r="I69" s="115" t="s">
        <v>346</v>
      </c>
      <c r="J69" s="116" t="n">
        <f aca="false">112000+380669+57500+282692</f>
        <v>832861</v>
      </c>
    </row>
    <row r="70" customFormat="false" ht="17" hidden="false" customHeight="false" outlineLevel="0" collapsed="false">
      <c r="A70" s="51" t="n">
        <v>44043</v>
      </c>
      <c r="B70" s="105" t="n">
        <v>59999.99999973</v>
      </c>
      <c r="C70" s="53" t="s">
        <v>347</v>
      </c>
      <c r="D70" s="53" t="s">
        <v>311</v>
      </c>
      <c r="E70" s="53" t="s">
        <v>87</v>
      </c>
      <c r="F70" s="54" t="n">
        <v>3</v>
      </c>
      <c r="G70" s="216"/>
      <c r="I70" s="125" t="s">
        <v>348</v>
      </c>
      <c r="J70" s="124" t="n">
        <f aca="false">222386</f>
        <v>222386</v>
      </c>
    </row>
    <row r="71" customFormat="false" ht="21" hidden="false" customHeight="false" outlineLevel="0" collapsed="false">
      <c r="A71" s="225" t="n">
        <v>44026</v>
      </c>
      <c r="B71" s="52" t="n">
        <v>238000</v>
      </c>
      <c r="C71" s="226" t="s">
        <v>349</v>
      </c>
      <c r="D71" s="226" t="s">
        <v>246</v>
      </c>
      <c r="E71" s="226" t="s">
        <v>87</v>
      </c>
      <c r="F71" s="313" t="n">
        <v>10</v>
      </c>
      <c r="G71" s="216"/>
      <c r="I71" s="306" t="s">
        <v>350</v>
      </c>
      <c r="J71" s="307" t="n">
        <v>150000</v>
      </c>
      <c r="DK71" s="357"/>
    </row>
    <row r="72" customFormat="false" ht="17" hidden="false" customHeight="false" outlineLevel="0" collapsed="false">
      <c r="A72" s="358" t="s">
        <v>351</v>
      </c>
      <c r="B72" s="165" t="n">
        <v>242760</v>
      </c>
      <c r="C72" s="359" t="s">
        <v>266</v>
      </c>
      <c r="D72" s="359" t="s">
        <v>59</v>
      </c>
      <c r="E72" s="359" t="s">
        <v>60</v>
      </c>
      <c r="F72" s="360" t="n">
        <v>4</v>
      </c>
      <c r="G72" s="267"/>
      <c r="I72" s="361" t="s">
        <v>99</v>
      </c>
      <c r="J72" s="320" t="n">
        <f aca="false">SUM(J48:J70)</f>
        <v>3904509.97222222</v>
      </c>
    </row>
    <row r="73" customFormat="false" ht="17" hidden="false" customHeight="true" outlineLevel="0" collapsed="false">
      <c r="A73" s="30" t="s">
        <v>77</v>
      </c>
      <c r="B73" s="181" t="n">
        <f aca="false">SUM(B32:B72)</f>
        <v>14351574.9656543</v>
      </c>
      <c r="C73" s="362"/>
      <c r="D73" s="363"/>
      <c r="E73" s="364"/>
      <c r="F73" s="365"/>
      <c r="G73" s="304"/>
      <c r="I73" s="366" t="s">
        <v>352</v>
      </c>
      <c r="J73" s="366"/>
    </row>
    <row r="74" customFormat="false" ht="17" hidden="false" customHeight="false" outlineLevel="0" collapsed="false">
      <c r="A74" s="49" t="s">
        <v>353</v>
      </c>
      <c r="B74" s="49"/>
      <c r="C74" s="49"/>
      <c r="D74" s="49"/>
      <c r="E74" s="49"/>
      <c r="F74" s="49"/>
      <c r="G74" s="49"/>
      <c r="I74" s="106" t="s">
        <v>354</v>
      </c>
      <c r="J74" s="75"/>
    </row>
    <row r="75" customFormat="false" ht="16" hidden="false" customHeight="false" outlineLevel="0" collapsed="false">
      <c r="A75" s="43" t="n">
        <v>44014</v>
      </c>
      <c r="B75" s="44" t="n">
        <v>16660</v>
      </c>
      <c r="C75" s="45" t="s">
        <v>263</v>
      </c>
      <c r="D75" s="45" t="s">
        <v>195</v>
      </c>
      <c r="E75" s="45" t="s">
        <v>87</v>
      </c>
      <c r="F75" s="367" t="n">
        <v>2</v>
      </c>
      <c r="G75" s="206"/>
      <c r="I75" s="177" t="s">
        <v>355</v>
      </c>
      <c r="J75" s="116"/>
    </row>
    <row r="76" customFormat="false" ht="17" hidden="false" customHeight="false" outlineLevel="0" collapsed="false">
      <c r="A76" s="51" t="n">
        <v>44021</v>
      </c>
      <c r="B76" s="105" t="n">
        <v>16660</v>
      </c>
      <c r="C76" s="53" t="s">
        <v>263</v>
      </c>
      <c r="D76" s="53" t="s">
        <v>97</v>
      </c>
      <c r="E76" s="53" t="s">
        <v>87</v>
      </c>
      <c r="F76" s="316" t="n">
        <v>2</v>
      </c>
      <c r="G76" s="55"/>
      <c r="I76" s="169" t="s">
        <v>356</v>
      </c>
      <c r="J76" s="124"/>
    </row>
    <row r="77" customFormat="false" ht="17" hidden="false" customHeight="false" outlineLevel="0" collapsed="false">
      <c r="A77" s="338" t="n">
        <v>43998</v>
      </c>
      <c r="B77" s="52" t="n">
        <v>24990</v>
      </c>
      <c r="C77" s="53" t="s">
        <v>319</v>
      </c>
      <c r="D77" s="53" t="s">
        <v>59</v>
      </c>
      <c r="E77" s="53" t="s">
        <v>60</v>
      </c>
      <c r="F77" s="293" t="n">
        <v>3</v>
      </c>
      <c r="G77" s="216"/>
      <c r="I77" s="183" t="s">
        <v>99</v>
      </c>
      <c r="J77" s="368" t="n">
        <f aca="false">SUM(J74:J76)</f>
        <v>0</v>
      </c>
      <c r="K77" s="148"/>
    </row>
    <row r="78" customFormat="false" ht="20" hidden="false" customHeight="false" outlineLevel="0" collapsed="false">
      <c r="A78" s="51" t="n">
        <v>44039</v>
      </c>
      <c r="B78" s="105" t="n">
        <v>49980</v>
      </c>
      <c r="C78" s="53" t="s">
        <v>334</v>
      </c>
      <c r="D78" s="53" t="s">
        <v>335</v>
      </c>
      <c r="E78" s="53" t="s">
        <v>278</v>
      </c>
      <c r="F78" s="316" t="n">
        <v>6</v>
      </c>
      <c r="G78" s="228"/>
      <c r="I78" s="369" t="s">
        <v>93</v>
      </c>
      <c r="J78" s="369"/>
    </row>
    <row r="79" customFormat="false" ht="16" hidden="false" customHeight="false" outlineLevel="0" collapsed="false">
      <c r="A79" s="51" t="n">
        <v>44024</v>
      </c>
      <c r="B79" s="105" t="n">
        <v>41650</v>
      </c>
      <c r="C79" s="53" t="s">
        <v>338</v>
      </c>
      <c r="D79" s="53" t="s">
        <v>339</v>
      </c>
      <c r="E79" s="53" t="s">
        <v>340</v>
      </c>
      <c r="F79" s="54" t="n">
        <v>5</v>
      </c>
      <c r="G79" s="216"/>
      <c r="H79" s="353"/>
      <c r="I79" s="106" t="s">
        <v>198</v>
      </c>
      <c r="J79" s="75" t="n">
        <v>30000</v>
      </c>
    </row>
    <row r="80" customFormat="false" ht="16" hidden="false" customHeight="false" outlineLevel="0" collapsed="false">
      <c r="A80" s="51" t="n">
        <v>44014</v>
      </c>
      <c r="B80" s="105" t="n">
        <v>5400</v>
      </c>
      <c r="C80" s="53" t="s">
        <v>263</v>
      </c>
      <c r="D80" s="53" t="s">
        <v>195</v>
      </c>
      <c r="E80" s="53" t="s">
        <v>87</v>
      </c>
      <c r="F80" s="316" t="s">
        <v>357</v>
      </c>
      <c r="G80" s="228"/>
      <c r="I80" s="177" t="s">
        <v>358</v>
      </c>
      <c r="J80" s="116" t="n">
        <v>10000</v>
      </c>
    </row>
    <row r="81" customFormat="false" ht="16" hidden="false" customHeight="false" outlineLevel="0" collapsed="false">
      <c r="A81" s="51" t="n">
        <v>44021</v>
      </c>
      <c r="B81" s="105" t="n">
        <v>5400</v>
      </c>
      <c r="C81" s="53" t="s">
        <v>263</v>
      </c>
      <c r="D81" s="53" t="s">
        <v>97</v>
      </c>
      <c r="E81" s="53" t="s">
        <v>87</v>
      </c>
      <c r="F81" s="316" t="s">
        <v>357</v>
      </c>
      <c r="G81" s="216"/>
      <c r="I81" s="177" t="s">
        <v>359</v>
      </c>
      <c r="J81" s="116" t="n">
        <f aca="false">57*1000</f>
        <v>57000</v>
      </c>
    </row>
    <row r="82" customFormat="false" ht="16" hidden="false" customHeight="false" outlineLevel="0" collapsed="false">
      <c r="A82" s="51" t="n">
        <v>44024</v>
      </c>
      <c r="B82" s="105" t="n">
        <v>10800</v>
      </c>
      <c r="C82" s="53" t="s">
        <v>338</v>
      </c>
      <c r="D82" s="53" t="s">
        <v>339</v>
      </c>
      <c r="E82" s="53" t="s">
        <v>340</v>
      </c>
      <c r="F82" s="54" t="s">
        <v>357</v>
      </c>
      <c r="G82" s="216"/>
      <c r="I82" s="177" t="s">
        <v>360</v>
      </c>
      <c r="J82" s="116" t="n">
        <v>450000</v>
      </c>
    </row>
    <row r="83" customFormat="false" ht="20" hidden="false" customHeight="true" outlineLevel="0" collapsed="false">
      <c r="A83" s="51" t="n">
        <v>44030</v>
      </c>
      <c r="B83" s="52" t="n">
        <v>24990</v>
      </c>
      <c r="C83" s="53" t="s">
        <v>108</v>
      </c>
      <c r="D83" s="53" t="s">
        <v>109</v>
      </c>
      <c r="E83" s="53" t="s">
        <v>87</v>
      </c>
      <c r="F83" s="54" t="n">
        <v>3</v>
      </c>
      <c r="G83" s="55"/>
      <c r="I83" s="177" t="s">
        <v>361</v>
      </c>
      <c r="J83" s="116" t="n">
        <v>57200</v>
      </c>
    </row>
    <row r="84" customFormat="false" ht="16" hidden="false" customHeight="false" outlineLevel="0" collapsed="false">
      <c r="A84" s="225" t="n">
        <v>44012</v>
      </c>
      <c r="B84" s="52" t="n">
        <v>102390</v>
      </c>
      <c r="C84" s="226" t="s">
        <v>362</v>
      </c>
      <c r="D84" s="226" t="s">
        <v>303</v>
      </c>
      <c r="E84" s="226" t="s">
        <v>298</v>
      </c>
      <c r="F84" s="313" t="s">
        <v>357</v>
      </c>
      <c r="G84" s="55"/>
      <c r="H84" s="353"/>
      <c r="I84" s="177" t="s">
        <v>363</v>
      </c>
      <c r="J84" s="116" t="n">
        <v>13970</v>
      </c>
    </row>
    <row r="85" customFormat="false" ht="19" hidden="false" customHeight="true" outlineLevel="0" collapsed="false">
      <c r="A85" s="164" t="n">
        <v>44030</v>
      </c>
      <c r="B85" s="165" t="n">
        <v>5400</v>
      </c>
      <c r="C85" s="166" t="s">
        <v>108</v>
      </c>
      <c r="D85" s="166" t="s">
        <v>109</v>
      </c>
      <c r="E85" s="166" t="s">
        <v>87</v>
      </c>
      <c r="F85" s="167" t="s">
        <v>357</v>
      </c>
      <c r="G85" s="168"/>
      <c r="I85" s="177" t="s">
        <v>364</v>
      </c>
      <c r="J85" s="116" t="n">
        <v>17049</v>
      </c>
    </row>
    <row r="86" customFormat="false" ht="17" hidden="false" customHeight="false" outlineLevel="0" collapsed="false">
      <c r="A86" s="370" t="s">
        <v>77</v>
      </c>
      <c r="B86" s="371" t="n">
        <f aca="false">SUM(B75:B85)</f>
        <v>304320</v>
      </c>
      <c r="G86" s="182"/>
      <c r="I86" s="177" t="s">
        <v>365</v>
      </c>
      <c r="J86" s="116" t="n">
        <v>160904</v>
      </c>
    </row>
    <row r="87" customFormat="false" ht="17" hidden="false" customHeight="false" outlineLevel="0" collapsed="false">
      <c r="A87" s="49" t="s">
        <v>93</v>
      </c>
      <c r="B87" s="49"/>
      <c r="C87" s="49"/>
      <c r="D87" s="49"/>
      <c r="E87" s="49"/>
      <c r="F87" s="49"/>
      <c r="G87" s="49"/>
      <c r="I87" s="177" t="s">
        <v>366</v>
      </c>
      <c r="J87" s="116" t="n">
        <v>30164</v>
      </c>
    </row>
    <row r="88" customFormat="false" ht="16" hidden="false" customHeight="false" outlineLevel="0" collapsed="false">
      <c r="A88" s="43" t="n">
        <v>44012</v>
      </c>
      <c r="B88" s="44" t="n">
        <v>47600</v>
      </c>
      <c r="C88" s="45" t="s">
        <v>367</v>
      </c>
      <c r="D88" s="45" t="s">
        <v>256</v>
      </c>
      <c r="E88" s="45" t="s">
        <v>60</v>
      </c>
      <c r="F88" s="46" t="s">
        <v>368</v>
      </c>
      <c r="G88" s="372"/>
      <c r="I88" s="177" t="s">
        <v>369</v>
      </c>
      <c r="J88" s="116" t="n">
        <v>8000</v>
      </c>
    </row>
    <row r="89" customFormat="false" ht="16" hidden="false" customHeight="false" outlineLevel="0" collapsed="false">
      <c r="A89" s="373" t="n">
        <v>44004</v>
      </c>
      <c r="B89" s="105" t="n">
        <v>650000</v>
      </c>
      <c r="C89" s="374" t="s">
        <v>370</v>
      </c>
      <c r="D89" s="374" t="s">
        <v>371</v>
      </c>
      <c r="E89" s="374" t="s">
        <v>87</v>
      </c>
      <c r="F89" s="375" t="s">
        <v>372</v>
      </c>
      <c r="G89" s="216"/>
      <c r="I89" s="177" t="s">
        <v>373</v>
      </c>
      <c r="J89" s="116" t="n">
        <v>282692</v>
      </c>
    </row>
    <row r="90" customFormat="false" ht="16" hidden="false" customHeight="false" outlineLevel="0" collapsed="false">
      <c r="A90" s="51" t="n">
        <v>44012</v>
      </c>
      <c r="B90" s="52" t="n">
        <v>178500</v>
      </c>
      <c r="C90" s="53" t="s">
        <v>271</v>
      </c>
      <c r="D90" s="53" t="s">
        <v>272</v>
      </c>
      <c r="E90" s="53" t="s">
        <v>60</v>
      </c>
      <c r="F90" s="54" t="s">
        <v>374</v>
      </c>
      <c r="G90" s="216"/>
      <c r="I90" s="177" t="s">
        <v>375</v>
      </c>
      <c r="J90" s="116" t="n">
        <v>84358</v>
      </c>
    </row>
    <row r="91" customFormat="false" ht="16" hidden="false" customHeight="false" outlineLevel="0" collapsed="false">
      <c r="A91" s="338" t="n">
        <v>43998</v>
      </c>
      <c r="B91" s="52" t="n">
        <v>107100</v>
      </c>
      <c r="C91" s="53" t="s">
        <v>319</v>
      </c>
      <c r="D91" s="53" t="s">
        <v>59</v>
      </c>
      <c r="E91" s="53" t="s">
        <v>60</v>
      </c>
      <c r="F91" s="293" t="s">
        <v>376</v>
      </c>
      <c r="G91" s="216"/>
      <c r="I91" s="177" t="s">
        <v>377</v>
      </c>
      <c r="J91" s="116" t="n">
        <v>33872</v>
      </c>
    </row>
    <row r="92" customFormat="false" ht="16" hidden="false" customHeight="false" outlineLevel="0" collapsed="false">
      <c r="A92" s="51" t="n">
        <v>43994</v>
      </c>
      <c r="B92" s="214" t="n">
        <v>244450</v>
      </c>
      <c r="C92" s="53" t="s">
        <v>140</v>
      </c>
      <c r="D92" s="53" t="s">
        <v>86</v>
      </c>
      <c r="E92" s="53" t="s">
        <v>87</v>
      </c>
      <c r="F92" s="215" t="s">
        <v>374</v>
      </c>
      <c r="G92" s="216" t="s">
        <v>141</v>
      </c>
      <c r="I92" s="177" t="s">
        <v>378</v>
      </c>
      <c r="J92" s="116" t="n">
        <v>117981</v>
      </c>
    </row>
    <row r="93" customFormat="false" ht="17" hidden="false" customHeight="false" outlineLevel="0" collapsed="false">
      <c r="A93" s="164" t="n">
        <v>44018</v>
      </c>
      <c r="B93" s="265" t="n">
        <v>47600</v>
      </c>
      <c r="C93" s="166" t="s">
        <v>194</v>
      </c>
      <c r="D93" s="166" t="s">
        <v>195</v>
      </c>
      <c r="E93" s="166" t="s">
        <v>87</v>
      </c>
      <c r="F93" s="266" t="s">
        <v>374</v>
      </c>
      <c r="G93" s="267" t="s">
        <v>141</v>
      </c>
      <c r="I93" s="169" t="s">
        <v>379</v>
      </c>
      <c r="J93" s="124" t="n">
        <f aca="false">19998/3</f>
        <v>6666</v>
      </c>
    </row>
    <row r="94" customFormat="false" ht="20" hidden="false" customHeight="false" outlineLevel="0" collapsed="false">
      <c r="A94" s="30" t="s">
        <v>77</v>
      </c>
      <c r="B94" s="376" t="n">
        <f aca="false">SUM(B88:B93)</f>
        <v>1275250</v>
      </c>
      <c r="D94" s="5"/>
      <c r="G94" s="121"/>
      <c r="I94" s="178" t="s">
        <v>118</v>
      </c>
      <c r="J94" s="320" t="n">
        <f aca="false">SUM(J79:J93)</f>
        <v>1359856</v>
      </c>
    </row>
    <row r="95" customFormat="false" ht="20" hidden="false" customHeight="true" outlineLevel="0" collapsed="false">
      <c r="A95" s="377" t="s">
        <v>88</v>
      </c>
      <c r="B95" s="378" t="n">
        <f aca="false">+B11+B25+B30+B73+B86+B94</f>
        <v>17978817.9656543</v>
      </c>
      <c r="I95" s="379" t="s">
        <v>380</v>
      </c>
      <c r="J95" s="379"/>
    </row>
    <row r="96" customFormat="false" ht="16" hidden="false" customHeight="false" outlineLevel="0" collapsed="false">
      <c r="D96" s="380"/>
      <c r="I96" s="62" t="s">
        <v>381</v>
      </c>
      <c r="J96" s="75" t="n">
        <v>0</v>
      </c>
      <c r="K96" s="6"/>
    </row>
    <row r="97" customFormat="false" ht="16" hidden="false" customHeight="false" outlineLevel="0" collapsed="false">
      <c r="I97" s="83" t="s">
        <v>382</v>
      </c>
      <c r="J97" s="381" t="n">
        <v>0</v>
      </c>
      <c r="K97" s="148"/>
    </row>
    <row r="98" customFormat="false" ht="19" hidden="false" customHeight="false" outlineLevel="0" collapsed="false">
      <c r="A98" s="382"/>
      <c r="B98" s="383"/>
      <c r="C98" s="384"/>
      <c r="I98" s="83" t="s">
        <v>383</v>
      </c>
      <c r="J98" s="381" t="n">
        <v>0</v>
      </c>
    </row>
    <row r="99" customFormat="false" ht="19" hidden="false" customHeight="false" outlineLevel="0" collapsed="false">
      <c r="A99" s="382"/>
      <c r="B99" s="383"/>
      <c r="C99" s="384"/>
      <c r="I99" s="83" t="s">
        <v>384</v>
      </c>
      <c r="J99" s="385" t="n">
        <v>0</v>
      </c>
    </row>
    <row r="100" customFormat="false" ht="20" hidden="false" customHeight="false" outlineLevel="0" collapsed="false">
      <c r="A100" s="382"/>
      <c r="B100" s="383"/>
      <c r="C100" s="384"/>
      <c r="E100" s="386"/>
      <c r="F100" s="382"/>
      <c r="I100" s="387" t="s">
        <v>385</v>
      </c>
      <c r="J100" s="388" t="n">
        <v>0</v>
      </c>
    </row>
    <row r="101" customFormat="false" ht="20" hidden="false" customHeight="false" outlineLevel="0" collapsed="false">
      <c r="A101" s="382"/>
      <c r="B101" s="383"/>
      <c r="C101" s="389"/>
      <c r="E101" s="386"/>
      <c r="F101" s="382"/>
      <c r="I101" s="390" t="s">
        <v>88</v>
      </c>
      <c r="J101" s="391" t="n">
        <f aca="false">SUM(J96:J100)</f>
        <v>0</v>
      </c>
      <c r="L101" s="392"/>
      <c r="M101" s="392"/>
    </row>
    <row r="102" customFormat="false" ht="19" hidden="false" customHeight="false" outlineLevel="0" collapsed="false">
      <c r="A102" s="382"/>
      <c r="B102" s="383"/>
      <c r="C102" s="389"/>
      <c r="E102" s="386"/>
      <c r="F102" s="382"/>
      <c r="I102" s="393" t="s">
        <v>386</v>
      </c>
      <c r="J102" s="393"/>
    </row>
    <row r="103" customFormat="false" ht="21" hidden="false" customHeight="false" outlineLevel="0" collapsed="false">
      <c r="A103" s="382"/>
      <c r="B103" s="383"/>
      <c r="C103" s="389"/>
      <c r="E103" s="386"/>
      <c r="F103" s="382"/>
      <c r="I103" s="306" t="s">
        <v>387</v>
      </c>
      <c r="J103" s="307" t="n">
        <v>100000</v>
      </c>
    </row>
    <row r="104" customFormat="false" ht="21" hidden="false" customHeight="false" outlineLevel="0" collapsed="false">
      <c r="A104" s="382"/>
      <c r="B104" s="383"/>
      <c r="C104" s="389"/>
      <c r="D104" s="394"/>
      <c r="E104" s="386"/>
      <c r="F104" s="382"/>
      <c r="I104" s="306" t="s">
        <v>388</v>
      </c>
      <c r="J104" s="307" t="n">
        <v>40000</v>
      </c>
    </row>
    <row r="105" customFormat="false" ht="21" hidden="false" customHeight="false" outlineLevel="0" collapsed="false">
      <c r="A105" s="382"/>
      <c r="B105" s="383"/>
      <c r="C105" s="389"/>
      <c r="E105" s="386"/>
      <c r="F105" s="382"/>
      <c r="I105" s="306" t="s">
        <v>389</v>
      </c>
      <c r="J105" s="307" t="n">
        <v>20000</v>
      </c>
      <c r="N105" s="392"/>
      <c r="O105" s="392"/>
    </row>
    <row r="106" customFormat="false" ht="21" hidden="false" customHeight="false" outlineLevel="0" collapsed="false">
      <c r="A106" s="382"/>
      <c r="B106" s="383"/>
      <c r="C106" s="389"/>
      <c r="D106" s="395"/>
      <c r="E106" s="386"/>
      <c r="F106" s="382"/>
      <c r="I106" s="306" t="s">
        <v>390</v>
      </c>
      <c r="J106" s="307" t="n">
        <v>20000</v>
      </c>
    </row>
    <row r="107" customFormat="false" ht="21" hidden="false" customHeight="false" outlineLevel="0" collapsed="false">
      <c r="A107" s="382"/>
      <c r="B107" s="383"/>
      <c r="C107" s="389"/>
      <c r="D107" s="396"/>
      <c r="E107" s="386"/>
      <c r="F107" s="382"/>
      <c r="I107" s="306" t="s">
        <v>391</v>
      </c>
      <c r="J107" s="307" t="n">
        <v>10000</v>
      </c>
    </row>
    <row r="108" customFormat="false" ht="21" hidden="false" customHeight="false" outlineLevel="0" collapsed="false">
      <c r="A108" s="382"/>
      <c r="B108" s="383"/>
      <c r="C108" s="389"/>
      <c r="D108" s="397"/>
      <c r="E108" s="386"/>
      <c r="F108" s="382"/>
      <c r="I108" s="306" t="s">
        <v>392</v>
      </c>
      <c r="J108" s="307" t="n">
        <v>6000</v>
      </c>
      <c r="P108" s="392"/>
    </row>
    <row r="109" customFormat="false" ht="21" hidden="false" customHeight="false" outlineLevel="0" collapsed="false">
      <c r="A109" s="382"/>
      <c r="B109" s="383"/>
      <c r="C109" s="389"/>
      <c r="D109" s="395"/>
      <c r="E109" s="386"/>
      <c r="F109" s="382"/>
      <c r="I109" s="306" t="s">
        <v>393</v>
      </c>
      <c r="J109" s="307" t="n">
        <v>4000</v>
      </c>
    </row>
    <row r="110" customFormat="false" ht="21" hidden="false" customHeight="false" outlineLevel="0" collapsed="false">
      <c r="A110" s="382"/>
      <c r="B110" s="383"/>
      <c r="C110" s="389"/>
      <c r="D110" s="395"/>
      <c r="E110" s="386"/>
      <c r="F110" s="382"/>
      <c r="I110" s="306" t="s">
        <v>394</v>
      </c>
      <c r="J110" s="307" t="n">
        <v>60300</v>
      </c>
    </row>
    <row r="111" customFormat="false" ht="21" hidden="false" customHeight="false" outlineLevel="0" collapsed="false">
      <c r="A111" s="382"/>
      <c r="B111" s="383"/>
      <c r="C111" s="389"/>
      <c r="D111" s="395"/>
      <c r="E111" s="386"/>
      <c r="F111" s="382"/>
      <c r="I111" s="306" t="s">
        <v>395</v>
      </c>
      <c r="J111" s="307" t="n">
        <v>2600</v>
      </c>
      <c r="L111" s="148"/>
      <c r="M111" s="148"/>
    </row>
    <row r="112" customFormat="false" ht="21" hidden="false" customHeight="false" outlineLevel="0" collapsed="false">
      <c r="A112" s="382"/>
      <c r="B112" s="383"/>
      <c r="C112" s="389"/>
      <c r="D112" s="398"/>
      <c r="E112" s="386"/>
      <c r="F112" s="382"/>
      <c r="I112" s="306" t="s">
        <v>396</v>
      </c>
      <c r="J112" s="307" t="n">
        <v>106000</v>
      </c>
    </row>
    <row r="113" customFormat="false" ht="21" hidden="false" customHeight="false" outlineLevel="0" collapsed="false">
      <c r="C113" s="389"/>
      <c r="D113" s="398"/>
      <c r="E113" s="386"/>
      <c r="F113" s="382"/>
      <c r="H113" s="148"/>
      <c r="I113" s="306" t="s">
        <v>397</v>
      </c>
      <c r="J113" s="307" t="n">
        <v>7000</v>
      </c>
    </row>
    <row r="114" customFormat="false" ht="21" hidden="false" customHeight="false" outlineLevel="0" collapsed="false">
      <c r="C114" s="389"/>
      <c r="D114" s="398"/>
      <c r="E114" s="386"/>
      <c r="F114" s="382"/>
      <c r="I114" s="306" t="s">
        <v>398</v>
      </c>
      <c r="J114" s="307" t="n">
        <v>55590</v>
      </c>
    </row>
    <row r="115" customFormat="false" ht="21" hidden="false" customHeight="false" outlineLevel="0" collapsed="false">
      <c r="C115" s="389"/>
      <c r="D115" s="398"/>
      <c r="E115" s="386"/>
      <c r="F115" s="382"/>
      <c r="I115" s="306" t="s">
        <v>399</v>
      </c>
      <c r="J115" s="307" t="n">
        <v>310539</v>
      </c>
      <c r="N115" s="148"/>
      <c r="O115" s="148"/>
    </row>
    <row r="116" customFormat="false" ht="21" hidden="false" customHeight="false" outlineLevel="0" collapsed="false">
      <c r="C116" s="389"/>
      <c r="D116" s="398"/>
      <c r="E116" s="386"/>
      <c r="F116" s="382"/>
      <c r="I116" s="306" t="s">
        <v>400</v>
      </c>
      <c r="J116" s="307" t="n">
        <v>22000</v>
      </c>
    </row>
    <row r="117" customFormat="false" ht="21" hidden="false" customHeight="false" outlineLevel="0" collapsed="false">
      <c r="C117" s="389"/>
      <c r="D117" s="398"/>
      <c r="F117" s="382"/>
      <c r="I117" s="306" t="s">
        <v>401</v>
      </c>
      <c r="J117" s="307" t="n">
        <v>28400</v>
      </c>
    </row>
    <row r="118" customFormat="false" ht="21" hidden="false" customHeight="false" outlineLevel="0" collapsed="false">
      <c r="C118" s="389"/>
      <c r="D118" s="398"/>
      <c r="F118" s="382"/>
      <c r="I118" s="306" t="s">
        <v>402</v>
      </c>
      <c r="J118" s="307" t="n">
        <v>56000</v>
      </c>
      <c r="P118" s="148"/>
    </row>
    <row r="119" customFormat="false" ht="21" hidden="false" customHeight="false" outlineLevel="0" collapsed="false">
      <c r="C119" s="389"/>
      <c r="D119" s="398"/>
      <c r="F119" s="382"/>
      <c r="I119" s="306" t="s">
        <v>72</v>
      </c>
      <c r="J119" s="307" t="n">
        <v>10000</v>
      </c>
    </row>
    <row r="120" customFormat="false" ht="21" hidden="false" customHeight="false" outlineLevel="0" collapsed="false">
      <c r="C120" s="389"/>
      <c r="D120" s="398"/>
      <c r="F120" s="382"/>
      <c r="I120" s="306" t="s">
        <v>403</v>
      </c>
      <c r="J120" s="307" t="n">
        <v>10000</v>
      </c>
    </row>
    <row r="121" customFormat="false" ht="21" hidden="false" customHeight="false" outlineLevel="0" collapsed="false">
      <c r="C121" s="389"/>
      <c r="I121" s="306" t="s">
        <v>404</v>
      </c>
      <c r="J121" s="307" t="n">
        <v>10000</v>
      </c>
    </row>
    <row r="122" customFormat="false" ht="21" hidden="false" customHeight="false" outlineLevel="0" collapsed="false">
      <c r="C122" s="389"/>
      <c r="I122" s="306" t="s">
        <v>405</v>
      </c>
      <c r="J122" s="307" t="n">
        <v>40000</v>
      </c>
    </row>
    <row r="123" customFormat="false" ht="21" hidden="false" customHeight="false" outlineLevel="0" collapsed="false">
      <c r="C123" s="389"/>
      <c r="I123" s="306" t="s">
        <v>406</v>
      </c>
      <c r="J123" s="307" t="n">
        <v>158000</v>
      </c>
    </row>
    <row r="124" customFormat="false" ht="21" hidden="false" customHeight="false" outlineLevel="0" collapsed="false">
      <c r="C124" s="389"/>
      <c r="I124" s="306" t="s">
        <v>407</v>
      </c>
      <c r="J124" s="307" t="n">
        <v>2590</v>
      </c>
    </row>
    <row r="125" customFormat="false" ht="21" hidden="false" customHeight="false" outlineLevel="0" collapsed="false">
      <c r="I125" s="306" t="s">
        <v>408</v>
      </c>
      <c r="J125" s="307" t="n">
        <v>27003</v>
      </c>
    </row>
    <row r="126" customFormat="false" ht="21" hidden="false" customHeight="false" outlineLevel="0" collapsed="false">
      <c r="I126" s="306" t="s">
        <v>409</v>
      </c>
      <c r="J126" s="307" t="n">
        <v>100000</v>
      </c>
    </row>
    <row r="127" customFormat="false" ht="21" hidden="false" customHeight="false" outlineLevel="0" collapsed="false">
      <c r="I127" s="306" t="s">
        <v>410</v>
      </c>
      <c r="J127" s="307" t="n">
        <v>23318</v>
      </c>
    </row>
    <row r="128" customFormat="false" ht="21" hidden="false" customHeight="false" outlineLevel="0" collapsed="false">
      <c r="I128" s="306" t="s">
        <v>411</v>
      </c>
      <c r="J128" s="307" t="n">
        <v>6990</v>
      </c>
    </row>
    <row r="129" customFormat="false" ht="21" hidden="false" customHeight="false" outlineLevel="0" collapsed="false">
      <c r="I129" s="306" t="s">
        <v>402</v>
      </c>
      <c r="J129" s="307" t="n">
        <v>60000</v>
      </c>
    </row>
    <row r="130" customFormat="false" ht="21" hidden="false" customHeight="false" outlineLevel="0" collapsed="false">
      <c r="I130" s="306" t="s">
        <v>412</v>
      </c>
      <c r="J130" s="307" t="n">
        <v>104000</v>
      </c>
    </row>
    <row r="131" customFormat="false" ht="21" hidden="false" customHeight="false" outlineLevel="0" collapsed="false">
      <c r="I131" s="306" t="s">
        <v>413</v>
      </c>
      <c r="J131" s="307" t="n">
        <v>120000</v>
      </c>
    </row>
    <row r="132" customFormat="false" ht="18" hidden="false" customHeight="true" outlineLevel="0" collapsed="false">
      <c r="I132" s="306" t="s">
        <v>414</v>
      </c>
      <c r="J132" s="307" t="n">
        <v>40000</v>
      </c>
    </row>
    <row r="133" customFormat="false" ht="21" hidden="false" customHeight="false" outlineLevel="0" collapsed="false">
      <c r="I133" s="306" t="s">
        <v>415</v>
      </c>
      <c r="J133" s="307" t="n">
        <v>1000</v>
      </c>
    </row>
    <row r="134" customFormat="false" ht="21" hidden="false" customHeight="false" outlineLevel="0" collapsed="false">
      <c r="I134" s="306" t="s">
        <v>416</v>
      </c>
      <c r="J134" s="307" t="n">
        <v>16000</v>
      </c>
    </row>
    <row r="135" customFormat="false" ht="21" hidden="false" customHeight="false" outlineLevel="0" collapsed="false">
      <c r="I135" s="306" t="s">
        <v>415</v>
      </c>
      <c r="J135" s="307" t="n">
        <v>1000</v>
      </c>
    </row>
    <row r="136" customFormat="false" ht="21" hidden="false" customHeight="false" outlineLevel="0" collapsed="false">
      <c r="I136" s="306" t="s">
        <v>417</v>
      </c>
      <c r="J136" s="307" t="n">
        <v>171360</v>
      </c>
    </row>
    <row r="137" customFormat="false" ht="21" hidden="false" customHeight="false" outlineLevel="0" collapsed="false">
      <c r="I137" s="306" t="s">
        <v>418</v>
      </c>
      <c r="J137" s="307" t="n">
        <v>150000</v>
      </c>
    </row>
    <row r="138" customFormat="false" ht="21" hidden="false" customHeight="false" outlineLevel="0" collapsed="false">
      <c r="I138" s="306" t="s">
        <v>419</v>
      </c>
      <c r="J138" s="307" t="n">
        <v>39984</v>
      </c>
    </row>
    <row r="139" customFormat="false" ht="21" hidden="false" customHeight="false" outlineLevel="0" collapsed="false">
      <c r="I139" s="306" t="s">
        <v>420</v>
      </c>
      <c r="J139" s="307" t="n">
        <v>15000</v>
      </c>
    </row>
    <row r="140" customFormat="false" ht="21" hidden="false" customHeight="false" outlineLevel="0" collapsed="false">
      <c r="I140" s="306" t="s">
        <v>421</v>
      </c>
      <c r="J140" s="307" t="n">
        <v>3500</v>
      </c>
    </row>
    <row r="141" customFormat="false" ht="21" hidden="false" customHeight="false" outlineLevel="0" collapsed="false">
      <c r="I141" s="306" t="s">
        <v>422</v>
      </c>
      <c r="J141" s="307" t="n">
        <v>16000</v>
      </c>
    </row>
    <row r="142" customFormat="false" ht="21" hidden="false" customHeight="false" outlineLevel="0" collapsed="false">
      <c r="I142" s="306" t="s">
        <v>423</v>
      </c>
      <c r="J142" s="307" t="n">
        <v>350000</v>
      </c>
    </row>
    <row r="143" customFormat="false" ht="21" hidden="false" customHeight="false" outlineLevel="0" collapsed="false">
      <c r="I143" s="306" t="s">
        <v>424</v>
      </c>
      <c r="J143" s="307" t="n">
        <v>60000</v>
      </c>
    </row>
    <row r="144" customFormat="false" ht="21" hidden="false" customHeight="false" outlineLevel="0" collapsed="false">
      <c r="I144" s="306" t="s">
        <v>425</v>
      </c>
      <c r="J144" s="307" t="n">
        <v>21650</v>
      </c>
    </row>
    <row r="145" customFormat="false" ht="17" hidden="false" customHeight="false" outlineLevel="0" collapsed="false">
      <c r="I145" s="126" t="s">
        <v>88</v>
      </c>
      <c r="J145" s="399" t="n">
        <f aca="false">SUM(J103:J144)</f>
        <v>2405824</v>
      </c>
    </row>
    <row r="146" customFormat="false" ht="17" hidden="false" customHeight="false" outlineLevel="0" collapsed="false">
      <c r="I146" s="400" t="s">
        <v>426</v>
      </c>
      <c r="J146" s="400"/>
    </row>
    <row r="147" customFormat="false" ht="16" hidden="false" customHeight="false" outlineLevel="0" collapsed="false">
      <c r="I147" s="62" t="s">
        <v>427</v>
      </c>
      <c r="J147" s="401" t="n">
        <v>6800</v>
      </c>
    </row>
    <row r="148" customFormat="false" ht="16" hidden="false" customHeight="false" outlineLevel="0" collapsed="false">
      <c r="I148" s="33" t="s">
        <v>428</v>
      </c>
      <c r="J148" s="36" t="n">
        <v>4000</v>
      </c>
    </row>
    <row r="149" customFormat="false" ht="16" hidden="false" customHeight="false" outlineLevel="0" collapsed="false">
      <c r="I149" s="33" t="s">
        <v>429</v>
      </c>
      <c r="J149" s="36" t="n">
        <v>3800</v>
      </c>
    </row>
    <row r="150" customFormat="false" ht="16" hidden="false" customHeight="false" outlineLevel="0" collapsed="false">
      <c r="I150" s="33" t="s">
        <v>430</v>
      </c>
      <c r="J150" s="36" t="n">
        <v>5500</v>
      </c>
    </row>
    <row r="151" customFormat="false" ht="16" hidden="false" customHeight="false" outlineLevel="0" collapsed="false">
      <c r="I151" s="33" t="s">
        <v>431</v>
      </c>
      <c r="J151" s="36" t="n">
        <v>95965</v>
      </c>
    </row>
    <row r="152" customFormat="false" ht="16" hidden="false" customHeight="false" outlineLevel="0" collapsed="false">
      <c r="I152" s="33" t="s">
        <v>432</v>
      </c>
      <c r="J152" s="36" t="n">
        <v>10200</v>
      </c>
    </row>
    <row r="153" customFormat="false" ht="16" hidden="false" customHeight="false" outlineLevel="0" collapsed="false">
      <c r="I153" s="33" t="s">
        <v>433</v>
      </c>
      <c r="J153" s="36" t="n">
        <v>12000</v>
      </c>
    </row>
    <row r="154" customFormat="false" ht="16" hidden="false" customHeight="false" outlineLevel="0" collapsed="false">
      <c r="I154" s="33" t="s">
        <v>434</v>
      </c>
      <c r="J154" s="36" t="n">
        <v>32000</v>
      </c>
    </row>
    <row r="155" customFormat="false" ht="16" hidden="false" customHeight="false" outlineLevel="0" collapsed="false">
      <c r="I155" s="33" t="s">
        <v>435</v>
      </c>
      <c r="J155" s="36" t="n">
        <v>5000</v>
      </c>
    </row>
    <row r="156" customFormat="false" ht="16" hidden="false" customHeight="false" outlineLevel="0" collapsed="false">
      <c r="I156" s="33" t="s">
        <v>436</v>
      </c>
      <c r="J156" s="36" t="n">
        <f aca="false">2700*2</f>
        <v>5400</v>
      </c>
    </row>
    <row r="157" customFormat="false" ht="19" hidden="false" customHeight="false" outlineLevel="0" collapsed="false">
      <c r="I157" s="33" t="s">
        <v>437</v>
      </c>
      <c r="J157" s="36" t="n">
        <v>5000</v>
      </c>
      <c r="M157" s="402"/>
    </row>
    <row r="158" customFormat="false" ht="16" hidden="false" customHeight="false" outlineLevel="0" collapsed="false">
      <c r="I158" s="33" t="s">
        <v>438</v>
      </c>
      <c r="J158" s="36" t="n">
        <v>2600</v>
      </c>
      <c r="K158" s="148"/>
      <c r="M158" s="403"/>
    </row>
    <row r="159" customFormat="false" ht="16" hidden="false" customHeight="false" outlineLevel="0" collapsed="false">
      <c r="I159" s="33" t="s">
        <v>439</v>
      </c>
      <c r="J159" s="36" t="n">
        <v>8597</v>
      </c>
      <c r="K159" s="148"/>
      <c r="M159" s="403"/>
    </row>
    <row r="160" customFormat="false" ht="16" hidden="false" customHeight="false" outlineLevel="0" collapsed="false">
      <c r="I160" s="33" t="s">
        <v>440</v>
      </c>
      <c r="J160" s="404" t="n">
        <v>117007</v>
      </c>
      <c r="M160" s="403"/>
    </row>
    <row r="161" customFormat="false" ht="19" hidden="false" customHeight="false" outlineLevel="0" collapsed="false">
      <c r="I161" s="33" t="s">
        <v>441</v>
      </c>
      <c r="J161" s="405" t="n">
        <v>21000</v>
      </c>
      <c r="M161" s="403"/>
      <c r="N161" s="402"/>
      <c r="O161" s="402"/>
    </row>
    <row r="162" customFormat="false" ht="16" hidden="false" customHeight="false" outlineLevel="0" collapsed="false">
      <c r="I162" s="33" t="s">
        <v>442</v>
      </c>
      <c r="J162" s="36" t="n">
        <v>21997</v>
      </c>
      <c r="M162" s="403"/>
      <c r="N162" s="403"/>
      <c r="O162" s="403"/>
    </row>
    <row r="163" customFormat="false" ht="16" hidden="false" customHeight="false" outlineLevel="0" collapsed="false">
      <c r="I163" s="33" t="s">
        <v>443</v>
      </c>
      <c r="J163" s="36" t="n">
        <v>3980</v>
      </c>
      <c r="M163" s="403"/>
      <c r="N163" s="403"/>
      <c r="O163" s="403"/>
    </row>
    <row r="164" customFormat="false" ht="19" hidden="false" customHeight="false" outlineLevel="0" collapsed="false">
      <c r="I164" s="33" t="s">
        <v>444</v>
      </c>
      <c r="J164" s="36" t="n">
        <v>10400</v>
      </c>
      <c r="M164" s="262"/>
      <c r="N164" s="403"/>
      <c r="O164" s="403"/>
      <c r="P164" s="402"/>
    </row>
    <row r="165" customFormat="false" ht="16" hidden="false" customHeight="false" outlineLevel="0" collapsed="false">
      <c r="I165" s="33" t="s">
        <v>445</v>
      </c>
      <c r="J165" s="36" t="n">
        <v>1050</v>
      </c>
      <c r="M165" s="406"/>
      <c r="N165" s="403"/>
      <c r="O165" s="403"/>
      <c r="P165" s="403"/>
    </row>
    <row r="166" customFormat="false" ht="16" hidden="false" customHeight="false" outlineLevel="0" collapsed="false">
      <c r="I166" s="33" t="s">
        <v>446</v>
      </c>
      <c r="J166" s="36" t="n">
        <v>10900</v>
      </c>
      <c r="M166" s="2"/>
      <c r="N166" s="403"/>
      <c r="O166" s="403"/>
      <c r="P166" s="403"/>
    </row>
    <row r="167" customFormat="false" ht="16" hidden="false" customHeight="false" outlineLevel="0" collapsed="false">
      <c r="I167" s="33" t="s">
        <v>447</v>
      </c>
      <c r="J167" s="36" t="n">
        <v>14000</v>
      </c>
      <c r="M167" s="406"/>
      <c r="N167" s="403"/>
      <c r="O167" s="403"/>
      <c r="P167" s="403"/>
    </row>
    <row r="168" customFormat="false" ht="16" hidden="false" customHeight="false" outlineLevel="0" collapsed="false">
      <c r="I168" s="33" t="s">
        <v>448</v>
      </c>
      <c r="J168" s="264" t="n">
        <v>35710</v>
      </c>
      <c r="M168" s="406"/>
      <c r="N168" s="262"/>
      <c r="O168" s="262"/>
      <c r="P168" s="403"/>
    </row>
    <row r="169" customFormat="false" ht="17" hidden="false" customHeight="false" outlineLevel="0" collapsed="false">
      <c r="I169" s="33" t="s">
        <v>449</v>
      </c>
      <c r="J169" s="110" t="n">
        <v>13500</v>
      </c>
      <c r="M169" s="261"/>
      <c r="N169" s="406"/>
      <c r="O169" s="406"/>
      <c r="P169" s="403"/>
    </row>
    <row r="170" customFormat="false" ht="16" hidden="false" customHeight="false" outlineLevel="0" collapsed="false">
      <c r="I170" s="33" t="s">
        <v>450</v>
      </c>
      <c r="J170" s="36" t="n">
        <f aca="false">2600+2700+900+2600+2700</f>
        <v>11500</v>
      </c>
      <c r="N170" s="2"/>
      <c r="O170" s="2"/>
      <c r="P170" s="403"/>
    </row>
    <row r="171" customFormat="false" ht="16" hidden="false" customHeight="false" outlineLevel="0" collapsed="false">
      <c r="I171" s="33" t="s">
        <v>451</v>
      </c>
      <c r="J171" s="404" t="n">
        <v>34001</v>
      </c>
      <c r="N171" s="406"/>
      <c r="O171" s="406"/>
      <c r="P171" s="262"/>
    </row>
    <row r="172" customFormat="false" ht="16" hidden="false" customHeight="false" outlineLevel="0" collapsed="false">
      <c r="I172" s="83" t="s">
        <v>452</v>
      </c>
      <c r="J172" s="36" t="n">
        <f aca="false">34000/2</f>
        <v>17000</v>
      </c>
      <c r="N172" s="406"/>
      <c r="O172" s="406"/>
      <c r="P172" s="406"/>
    </row>
    <row r="173" customFormat="false" ht="16" hidden="false" customHeight="false" outlineLevel="0" collapsed="false">
      <c r="I173" s="83" t="s">
        <v>453</v>
      </c>
      <c r="J173" s="36" t="n">
        <v>72000</v>
      </c>
      <c r="N173" s="261"/>
      <c r="O173" s="261"/>
      <c r="P173" s="2"/>
    </row>
    <row r="174" customFormat="false" ht="17" hidden="false" customHeight="false" outlineLevel="0" collapsed="false">
      <c r="I174" s="126" t="s">
        <v>88</v>
      </c>
      <c r="J174" s="399" t="n">
        <f aca="false">SUM(J147:J173)</f>
        <v>580907</v>
      </c>
      <c r="P174" s="406"/>
    </row>
    <row r="175" customFormat="false" ht="16" hidden="false" customHeight="false" outlineLevel="0" collapsed="false">
      <c r="I175" s="400" t="s">
        <v>454</v>
      </c>
      <c r="J175" s="400"/>
      <c r="P175" s="406"/>
    </row>
    <row r="176" customFormat="false" ht="16" hidden="false" customHeight="false" outlineLevel="0" collapsed="false">
      <c r="I176" s="176" t="s">
        <v>455</v>
      </c>
      <c r="J176" s="407" t="n">
        <v>4090</v>
      </c>
      <c r="P176" s="261"/>
    </row>
    <row r="177" customFormat="false" ht="16" hidden="false" customHeight="false" outlineLevel="0" collapsed="false">
      <c r="I177" s="346" t="s">
        <v>456</v>
      </c>
      <c r="J177" s="408" t="n">
        <v>5000</v>
      </c>
    </row>
    <row r="178" customFormat="false" ht="16" hidden="false" customHeight="false" outlineLevel="0" collapsed="false">
      <c r="I178" s="346" t="s">
        <v>455</v>
      </c>
      <c r="J178" s="408" t="n">
        <v>8180</v>
      </c>
    </row>
    <row r="179" customFormat="false" ht="16" hidden="false" customHeight="false" outlineLevel="0" collapsed="false">
      <c r="I179" s="346" t="s">
        <v>455</v>
      </c>
      <c r="J179" s="408" t="n">
        <v>30360</v>
      </c>
    </row>
    <row r="180" customFormat="false" ht="17" hidden="false" customHeight="false" outlineLevel="0" collapsed="false">
      <c r="I180" s="409" t="s">
        <v>457</v>
      </c>
      <c r="J180" s="410" t="n">
        <v>62461</v>
      </c>
    </row>
    <row r="181" customFormat="false" ht="17" hidden="false" customHeight="false" outlineLevel="0" collapsed="false">
      <c r="I181" s="409" t="s">
        <v>458</v>
      </c>
      <c r="J181" s="410" t="n">
        <v>13500</v>
      </c>
    </row>
    <row r="182" customFormat="false" ht="16" hidden="false" customHeight="false" outlineLevel="0" collapsed="false">
      <c r="I182" s="346" t="s">
        <v>459</v>
      </c>
      <c r="J182" s="408" t="n">
        <v>30168</v>
      </c>
    </row>
    <row r="183" customFormat="false" ht="16" hidden="false" customHeight="false" outlineLevel="0" collapsed="false">
      <c r="I183" s="346" t="s">
        <v>460</v>
      </c>
      <c r="J183" s="408" t="n">
        <v>10000</v>
      </c>
    </row>
    <row r="184" customFormat="false" ht="16" hidden="false" customHeight="false" outlineLevel="0" collapsed="false">
      <c r="I184" s="346" t="s">
        <v>461</v>
      </c>
      <c r="J184" s="408" t="n">
        <v>65000</v>
      </c>
    </row>
    <row r="185" customFormat="false" ht="17" hidden="false" customHeight="false" outlineLevel="0" collapsed="false">
      <c r="I185" s="409" t="s">
        <v>462</v>
      </c>
      <c r="J185" s="410" t="n">
        <v>4485</v>
      </c>
      <c r="M185" s="148"/>
    </row>
    <row r="186" customFormat="false" ht="17" hidden="false" customHeight="false" outlineLevel="0" collapsed="false">
      <c r="I186" s="409" t="s">
        <v>463</v>
      </c>
      <c r="J186" s="410" t="n">
        <v>5000</v>
      </c>
      <c r="K186" s="148"/>
      <c r="R186" s="411"/>
      <c r="T186" s="229"/>
      <c r="U186" s="229"/>
      <c r="V186" s="229"/>
    </row>
    <row r="187" customFormat="false" ht="20" hidden="false" customHeight="false" outlineLevel="0" collapsed="false">
      <c r="I187" s="412" t="s">
        <v>464</v>
      </c>
      <c r="J187" s="413" t="n">
        <v>5000</v>
      </c>
      <c r="R187" s="411"/>
      <c r="S187" s="414"/>
      <c r="T187" s="402"/>
      <c r="U187" s="229"/>
      <c r="V187" s="229"/>
    </row>
    <row r="188" customFormat="false" ht="17" hidden="false" customHeight="false" outlineLevel="0" collapsed="false">
      <c r="I188" s="126" t="s">
        <v>88</v>
      </c>
      <c r="J188" s="399" t="n">
        <f aca="false">SUM(J176:J187)</f>
        <v>243244</v>
      </c>
      <c r="R188" s="411"/>
      <c r="S188" s="415"/>
      <c r="T188" s="416"/>
      <c r="U188" s="229"/>
      <c r="V188" s="229"/>
    </row>
    <row r="189" customFormat="false" ht="17" hidden="false" customHeight="false" outlineLevel="0" collapsed="false">
      <c r="I189" s="211" t="s">
        <v>465</v>
      </c>
      <c r="J189" s="211"/>
      <c r="N189" s="148"/>
      <c r="O189" s="148"/>
      <c r="R189" s="411"/>
      <c r="S189" s="415"/>
      <c r="T189" s="416"/>
      <c r="U189" s="229"/>
      <c r="V189" s="229"/>
    </row>
    <row r="190" customFormat="false" ht="17" hidden="false" customHeight="false" outlineLevel="0" collapsed="false">
      <c r="I190" s="417" t="str">
        <f aca="false">L9</f>
        <v>TALCA</v>
      </c>
      <c r="J190" s="418" t="n">
        <f aca="false">M9</f>
        <v>19211.5</v>
      </c>
      <c r="R190" s="411"/>
      <c r="S190" s="255"/>
      <c r="T190" s="217"/>
      <c r="U190" s="229"/>
      <c r="V190" s="229"/>
    </row>
    <row r="191" customFormat="false" ht="17" hidden="false" customHeight="false" outlineLevel="0" collapsed="false">
      <c r="I191" s="126" t="s">
        <v>88</v>
      </c>
      <c r="J191" s="399" t="n">
        <f aca="false">SUM(J190)</f>
        <v>19211.5</v>
      </c>
      <c r="R191" s="411"/>
      <c r="T191" s="406"/>
      <c r="U191" s="229"/>
      <c r="V191" s="229"/>
    </row>
    <row r="192" customFormat="false" ht="17" hidden="false" customHeight="false" outlineLevel="0" collapsed="false">
      <c r="I192" s="183" t="s">
        <v>99</v>
      </c>
      <c r="J192" s="220" t="n">
        <f aca="false">J191+J188+J145+J101+J94+J77+J46+J72+J174</f>
        <v>15846489.1388889</v>
      </c>
      <c r="P192" s="148"/>
      <c r="R192" s="411"/>
      <c r="T192" s="419"/>
      <c r="U192" s="229"/>
      <c r="V192" s="229"/>
    </row>
    <row r="193" customFormat="false" ht="16" hidden="false" customHeight="false" outlineLevel="0" collapsed="false">
      <c r="I193" s="420" t="s">
        <v>466</v>
      </c>
      <c r="J193" s="421" t="n">
        <f aca="false">-J192</f>
        <v>-15846489.1388889</v>
      </c>
      <c r="R193" s="411"/>
      <c r="T193" s="406"/>
      <c r="U193" s="229"/>
      <c r="V193" s="229"/>
    </row>
    <row r="194" customFormat="false" ht="17" hidden="false" customHeight="false" outlineLevel="0" collapsed="false">
      <c r="I194" s="422" t="s">
        <v>261</v>
      </c>
      <c r="J194" s="423" t="n">
        <f aca="false">+B95</f>
        <v>17978817.9656543</v>
      </c>
      <c r="R194" s="411"/>
      <c r="T194" s="406"/>
      <c r="U194" s="229"/>
      <c r="V194" s="229"/>
    </row>
    <row r="195" customFormat="false" ht="20" hidden="false" customHeight="true" outlineLevel="0" collapsed="false">
      <c r="I195" s="178" t="s">
        <v>88</v>
      </c>
      <c r="J195" s="424" t="n">
        <f aca="false">SUM(J193:J194)</f>
        <v>2132328.82676545</v>
      </c>
      <c r="R195" s="411"/>
      <c r="S195" s="255"/>
      <c r="T195" s="261"/>
      <c r="U195" s="229"/>
      <c r="V195" s="229"/>
    </row>
    <row r="196" customFormat="false" ht="20" hidden="false" customHeight="true" outlineLevel="0" collapsed="false">
      <c r="J196" s="425"/>
      <c r="R196" s="411"/>
      <c r="T196" s="229"/>
      <c r="U196" s="229"/>
      <c r="V196" s="229"/>
    </row>
    <row r="197" customFormat="false" ht="17" hidden="false" customHeight="true" outlineLevel="0" collapsed="false">
      <c r="I197" s="426" t="s">
        <v>467</v>
      </c>
      <c r="J197" s="426"/>
      <c r="R197" s="411"/>
      <c r="T197" s="229"/>
      <c r="U197" s="229"/>
      <c r="V197" s="229"/>
    </row>
    <row r="198" customFormat="false" ht="19" hidden="false" customHeight="false" outlineLevel="0" collapsed="false">
      <c r="I198" s="427" t="s">
        <v>12</v>
      </c>
      <c r="J198" s="428" t="n">
        <f aca="false">S17</f>
        <v>822377</v>
      </c>
      <c r="R198" s="411"/>
      <c r="T198" s="229"/>
      <c r="U198" s="229"/>
      <c r="V198" s="229"/>
    </row>
    <row r="199" customFormat="false" ht="20" hidden="false" customHeight="true" outlineLevel="0" collapsed="false">
      <c r="I199" s="429" t="s">
        <v>466</v>
      </c>
      <c r="J199" s="430" t="n">
        <f aca="false">-AA24</f>
        <v>-1066433.13888889</v>
      </c>
      <c r="R199" s="411"/>
      <c r="T199" s="229"/>
      <c r="U199" s="229"/>
      <c r="V199" s="229"/>
    </row>
    <row r="200" customFormat="false" ht="21" hidden="false" customHeight="true" outlineLevel="0" collapsed="false">
      <c r="I200" s="431" t="s">
        <v>80</v>
      </c>
      <c r="J200" s="432" t="n">
        <f aca="false">SUM(J198:J199)</f>
        <v>-244056.138888889</v>
      </c>
      <c r="R200" s="411"/>
      <c r="T200" s="229"/>
      <c r="U200" s="229"/>
      <c r="V200" s="229"/>
    </row>
    <row r="201" customFormat="false" ht="21" hidden="false" customHeight="true" outlineLevel="0" collapsed="false">
      <c r="R201" s="411"/>
      <c r="T201" s="229"/>
      <c r="U201" s="229"/>
      <c r="V201" s="229"/>
    </row>
    <row r="202" customFormat="false" ht="20" hidden="false" customHeight="true" outlineLevel="0" collapsed="false">
      <c r="I202" s="426" t="s">
        <v>468</v>
      </c>
      <c r="J202" s="426"/>
      <c r="R202" s="411"/>
      <c r="T202" s="229"/>
      <c r="U202" s="229"/>
      <c r="V202" s="229"/>
    </row>
    <row r="203" customFormat="false" ht="19" hidden="false" customHeight="false" outlineLevel="0" collapsed="false">
      <c r="I203" s="427" t="s">
        <v>12</v>
      </c>
      <c r="J203" s="428" t="n">
        <f aca="false">AL36</f>
        <v>1578545</v>
      </c>
      <c r="R203" s="411"/>
      <c r="T203" s="229"/>
      <c r="U203" s="229"/>
      <c r="V203" s="229"/>
    </row>
    <row r="204" customFormat="false" ht="22" hidden="false" customHeight="true" outlineLevel="0" collapsed="false">
      <c r="I204" s="429" t="s">
        <v>466</v>
      </c>
      <c r="J204" s="430" t="n">
        <f aca="false">-AL35</f>
        <v>-3792533.80555556</v>
      </c>
      <c r="R204" s="411"/>
      <c r="T204" s="229"/>
      <c r="U204" s="229"/>
      <c r="V204" s="229"/>
    </row>
    <row r="205" customFormat="false" ht="22" hidden="false" customHeight="false" outlineLevel="0" collapsed="false">
      <c r="I205" s="336" t="s">
        <v>80</v>
      </c>
      <c r="J205" s="432" t="n">
        <f aca="false">SUM(J203:J204)</f>
        <v>-2213988.80555556</v>
      </c>
      <c r="R205" s="411"/>
      <c r="T205" s="229"/>
      <c r="U205" s="229"/>
      <c r="V205" s="229"/>
    </row>
    <row r="206" customFormat="false" ht="17" hidden="false" customHeight="false" outlineLevel="0" collapsed="false"/>
    <row r="207" customFormat="false" ht="20" hidden="false" customHeight="false" outlineLevel="0" collapsed="false">
      <c r="I207" s="32" t="s">
        <v>469</v>
      </c>
      <c r="J207" s="32"/>
    </row>
    <row r="208" customFormat="false" ht="16" hidden="false" customHeight="false" outlineLevel="0" collapsed="false">
      <c r="I208" s="427" t="s">
        <v>98</v>
      </c>
      <c r="J208" s="433" t="n">
        <f aca="false">J195</f>
        <v>2132328.82676545</v>
      </c>
    </row>
    <row r="209" customFormat="false" ht="16" hidden="false" customHeight="false" outlineLevel="0" collapsed="false">
      <c r="I209" s="434" t="s">
        <v>467</v>
      </c>
      <c r="J209" s="435" t="n">
        <f aca="false">J200</f>
        <v>-244056.138888889</v>
      </c>
    </row>
    <row r="210" customFormat="false" ht="17" hidden="false" customHeight="false" outlineLevel="0" collapsed="false">
      <c r="I210" s="429" t="s">
        <v>468</v>
      </c>
      <c r="J210" s="436" t="n">
        <f aca="false">J205</f>
        <v>-2213988.80555556</v>
      </c>
    </row>
    <row r="211" customFormat="false" ht="20" hidden="false" customHeight="false" outlineLevel="0" collapsed="false">
      <c r="I211" s="219" t="s">
        <v>80</v>
      </c>
      <c r="J211" s="437" t="n">
        <f aca="false">SUM(J208:J210)</f>
        <v>-325716.117678995</v>
      </c>
    </row>
    <row r="212" customFormat="false" ht="16" hidden="false" customHeight="false" outlineLevel="0" collapsed="false">
      <c r="I212" s="438" t="s">
        <v>145</v>
      </c>
      <c r="J212" s="439" t="n">
        <f aca="false">J211*35%</f>
        <v>-114000.641187648</v>
      </c>
    </row>
    <row r="213" customFormat="false" ht="16" hidden="false" customHeight="false" outlineLevel="0" collapsed="false">
      <c r="I213" s="440" t="s">
        <v>156</v>
      </c>
      <c r="J213" s="441" t="n">
        <f aca="false">J211*65%</f>
        <v>-211715.476491347</v>
      </c>
    </row>
    <row r="214" customFormat="false" ht="16" hidden="false" customHeight="false" outlineLevel="0" collapsed="false">
      <c r="I214" s="440" t="s">
        <v>163</v>
      </c>
      <c r="J214" s="441" t="n">
        <f aca="false">J213*25%</f>
        <v>-52928.8691228367</v>
      </c>
    </row>
    <row r="215" customFormat="false" ht="17" hidden="false" customHeight="false" outlineLevel="0" collapsed="false">
      <c r="I215" s="442" t="s">
        <v>170</v>
      </c>
      <c r="J215" s="443" t="n">
        <f aca="false">J213-J214</f>
        <v>-158786.60736851</v>
      </c>
    </row>
    <row r="216" customFormat="false" ht="17" hidden="false" customHeight="false" outlineLevel="0" collapsed="false"/>
    <row r="217" customFormat="false" ht="20" hidden="false" customHeight="false" outlineLevel="0" collapsed="false">
      <c r="I217" s="32" t="s">
        <v>470</v>
      </c>
      <c r="J217" s="32"/>
    </row>
    <row r="218" customFormat="false" ht="16" hidden="false" customHeight="false" outlineLevel="0" collapsed="false">
      <c r="I218" s="427" t="s">
        <v>471</v>
      </c>
      <c r="J218" s="435" t="n">
        <f aca="false">BH16</f>
        <v>-810285</v>
      </c>
    </row>
    <row r="219" customFormat="false" ht="16" hidden="false" customHeight="false" outlineLevel="0" collapsed="false">
      <c r="I219" s="434" t="s">
        <v>472</v>
      </c>
      <c r="J219" s="444" t="e">
        <f aca="false">BS20</f>
        <v>#REF!</v>
      </c>
    </row>
    <row r="220" customFormat="false" ht="16" hidden="false" customHeight="false" outlineLevel="0" collapsed="false">
      <c r="I220" s="434" t="s">
        <v>473</v>
      </c>
      <c r="J220" s="444" t="n">
        <f aca="false">CD18</f>
        <v>-1242806</v>
      </c>
    </row>
    <row r="221" customFormat="false" ht="16" hidden="false" customHeight="false" outlineLevel="0" collapsed="false">
      <c r="I221" s="434" t="s">
        <v>474</v>
      </c>
      <c r="J221" s="444" t="n">
        <f aca="false">CO22</f>
        <v>-1548042</v>
      </c>
    </row>
    <row r="222" customFormat="false" ht="16" hidden="false" customHeight="false" outlineLevel="0" collapsed="false">
      <c r="I222" s="434" t="s">
        <v>475</v>
      </c>
      <c r="J222" s="444" t="n">
        <f aca="false">CZ12</f>
        <v>-601833</v>
      </c>
    </row>
    <row r="223" customFormat="false" ht="17" hidden="false" customHeight="false" outlineLevel="0" collapsed="false">
      <c r="I223" s="429" t="s">
        <v>476</v>
      </c>
      <c r="J223" s="436" t="e">
        <f aca="false">DK57</f>
        <v>#REF!</v>
      </c>
    </row>
    <row r="224" customFormat="false" ht="17" hidden="false" customHeight="false" outlineLevel="0" collapsed="false">
      <c r="I224" s="219" t="s">
        <v>80</v>
      </c>
      <c r="J224" s="445" t="e">
        <f aca="false">SUM(J218:J223)</f>
        <v>#REF!</v>
      </c>
    </row>
    <row r="225" customFormat="false" ht="16" hidden="false" customHeight="false" outlineLevel="0" collapsed="false">
      <c r="I225" s="438" t="s">
        <v>145</v>
      </c>
      <c r="J225" s="446" t="e">
        <f aca="false">J224*35%</f>
        <v>#REF!</v>
      </c>
    </row>
    <row r="226" customFormat="false" ht="16" hidden="false" customHeight="false" outlineLevel="0" collapsed="false">
      <c r="I226" s="440" t="s">
        <v>156</v>
      </c>
      <c r="J226" s="447" t="e">
        <f aca="false">J224*65%</f>
        <v>#REF!</v>
      </c>
    </row>
    <row r="227" customFormat="false" ht="16" hidden="false" customHeight="false" outlineLevel="0" collapsed="false">
      <c r="I227" s="440" t="s">
        <v>163</v>
      </c>
      <c r="J227" s="447" t="e">
        <f aca="false">J226*25%</f>
        <v>#REF!</v>
      </c>
    </row>
    <row r="228" customFormat="false" ht="17" hidden="false" customHeight="false" outlineLevel="0" collapsed="false">
      <c r="I228" s="442" t="s">
        <v>170</v>
      </c>
      <c r="J228" s="448" t="e">
        <f aca="false">J226-J227</f>
        <v>#REF!</v>
      </c>
    </row>
    <row r="229" customFormat="false" ht="17" hidden="false" customHeight="true" outlineLevel="0" collapsed="false"/>
    <row r="230" customFormat="false" ht="20" hidden="false" customHeight="false" outlineLevel="0" collapsed="false">
      <c r="I230" s="449" t="s">
        <v>477</v>
      </c>
      <c r="J230" s="449"/>
      <c r="L230" s="450"/>
    </row>
    <row r="231" customFormat="false" ht="20" hidden="false" customHeight="false" outlineLevel="0" collapsed="false">
      <c r="I231" s="451" t="s">
        <v>80</v>
      </c>
      <c r="J231" s="452" t="e">
        <f aca="false">SUM(J211+J224)</f>
        <v>#REF!</v>
      </c>
      <c r="K231" s="449"/>
      <c r="L231" s="453"/>
    </row>
    <row r="232" customFormat="false" ht="39" hidden="false" customHeight="false" outlineLevel="0" collapsed="false">
      <c r="I232" s="451" t="s">
        <v>478</v>
      </c>
      <c r="J232" s="452" t="n">
        <f aca="false">10367538-5110762</f>
        <v>5256776</v>
      </c>
      <c r="K232" s="454" t="s">
        <v>479</v>
      </c>
      <c r="L232" s="455"/>
    </row>
    <row r="233" customFormat="false" ht="19" hidden="false" customHeight="false" outlineLevel="0" collapsed="false">
      <c r="I233" s="451" t="s">
        <v>480</v>
      </c>
      <c r="J233" s="456" t="n">
        <v>-1502464</v>
      </c>
      <c r="K233" s="457"/>
      <c r="L233" s="455"/>
    </row>
    <row r="234" customFormat="false" ht="19" hidden="false" customHeight="false" outlineLevel="0" collapsed="false">
      <c r="I234" s="451" t="s">
        <v>481</v>
      </c>
      <c r="J234" s="456" t="n">
        <v>-1728067</v>
      </c>
      <c r="K234" s="457"/>
      <c r="L234" s="455"/>
    </row>
    <row r="235" customFormat="false" ht="20" hidden="false" customHeight="false" outlineLevel="0" collapsed="false">
      <c r="I235" s="458" t="s">
        <v>482</v>
      </c>
      <c r="J235" s="459" t="n">
        <v>-1728538</v>
      </c>
      <c r="K235" s="457"/>
      <c r="L235" s="460"/>
    </row>
    <row r="236" customFormat="false" ht="20" hidden="false" customHeight="false" outlineLevel="0" collapsed="false">
      <c r="I236" s="219" t="s">
        <v>80</v>
      </c>
      <c r="J236" s="461" t="e">
        <f aca="false">SUM(J231:J235)</f>
        <v>#REF!</v>
      </c>
      <c r="K236" s="462"/>
      <c r="L236" s="463" t="s">
        <v>483</v>
      </c>
    </row>
    <row r="237" customFormat="false" ht="17" hidden="false" customHeight="false" outlineLevel="0" collapsed="false">
      <c r="I237" s="438" t="s">
        <v>145</v>
      </c>
      <c r="J237" s="464" t="e">
        <f aca="false">J236*35%</f>
        <v>#REF!</v>
      </c>
      <c r="K237" s="465" t="s">
        <v>484</v>
      </c>
      <c r="L237" s="466" t="e">
        <f aca="false">J237</f>
        <v>#REF!</v>
      </c>
    </row>
    <row r="238" customFormat="false" ht="16" hidden="false" customHeight="false" outlineLevel="0" collapsed="false">
      <c r="I238" s="440" t="s">
        <v>156</v>
      </c>
      <c r="J238" s="467" t="e">
        <f aca="false">J236*65%</f>
        <v>#REF!</v>
      </c>
      <c r="K238" s="468" t="n">
        <v>0</v>
      </c>
      <c r="L238" s="116" t="n">
        <v>0</v>
      </c>
    </row>
    <row r="239" customFormat="false" ht="16" hidden="false" customHeight="false" outlineLevel="0" collapsed="false">
      <c r="I239" s="440" t="s">
        <v>163</v>
      </c>
      <c r="J239" s="467" t="e">
        <f aca="false">J238*25%</f>
        <v>#REF!</v>
      </c>
      <c r="K239" s="469" t="n">
        <v>0</v>
      </c>
      <c r="L239" s="470" t="e">
        <f aca="false">J239</f>
        <v>#REF!</v>
      </c>
    </row>
    <row r="240" customFormat="false" ht="17" hidden="false" customHeight="false" outlineLevel="0" collapsed="false">
      <c r="I240" s="442" t="s">
        <v>170</v>
      </c>
      <c r="J240" s="471" t="e">
        <f aca="false">J238-J239</f>
        <v>#REF!</v>
      </c>
      <c r="K240" s="472" t="n">
        <v>0</v>
      </c>
      <c r="L240" s="170" t="e">
        <f aca="false">J240</f>
        <v>#REF!</v>
      </c>
    </row>
    <row r="241" customFormat="false" ht="17" hidden="false" customHeight="false" outlineLevel="0" collapsed="false">
      <c r="K241" s="473" t="n">
        <v>0</v>
      </c>
      <c r="L241" s="127" t="e">
        <f aca="false">SUM(L237,L239:L240)</f>
        <v>#REF!</v>
      </c>
    </row>
    <row r="242" customFormat="false" ht="20" hidden="false" customHeight="false" outlineLevel="0" collapsed="false">
      <c r="I242" s="142" t="s">
        <v>485</v>
      </c>
      <c r="J242" s="142"/>
      <c r="K242" s="474" t="n">
        <f aca="false">SUM(K238,K240:K241)</f>
        <v>0</v>
      </c>
    </row>
    <row r="243" customFormat="false" ht="19" hidden="false" customHeight="false" outlineLevel="0" collapsed="false">
      <c r="I243" s="57" t="s">
        <v>486</v>
      </c>
      <c r="J243" s="475" t="e">
        <f aca="false">L240</f>
        <v>#REF!</v>
      </c>
    </row>
    <row r="244" customFormat="false" ht="19" hidden="false" customHeight="false" outlineLevel="0" collapsed="false">
      <c r="I244" s="33" t="s">
        <v>487</v>
      </c>
      <c r="J244" s="476" t="n">
        <v>-211453</v>
      </c>
    </row>
    <row r="245" customFormat="false" ht="19" hidden="false" customHeight="false" outlineLevel="0" collapsed="false">
      <c r="I245" s="33" t="s">
        <v>488</v>
      </c>
      <c r="J245" s="476" t="n">
        <f aca="false">-((22.5*27500)/12)</f>
        <v>-51562.5</v>
      </c>
    </row>
    <row r="246" customFormat="false" ht="19" hidden="false" customHeight="false" outlineLevel="0" collapsed="false">
      <c r="I246" s="33" t="s">
        <v>489</v>
      </c>
      <c r="J246" s="476" t="n">
        <v>-245316</v>
      </c>
    </row>
    <row r="247" customFormat="false" ht="20" hidden="false" customHeight="false" outlineLevel="0" collapsed="false">
      <c r="I247" s="477" t="s">
        <v>490</v>
      </c>
      <c r="J247" s="430" t="n">
        <v>-156333</v>
      </c>
    </row>
    <row r="248" customFormat="false" ht="20" hidden="false" customHeight="false" outlineLevel="0" collapsed="false">
      <c r="I248" s="478" t="s">
        <v>491</v>
      </c>
      <c r="J248" s="437" t="e">
        <f aca="false">SUM(J243:J247)</f>
        <v>#REF!</v>
      </c>
    </row>
    <row r="249" customFormat="false" ht="20" hidden="false" customHeight="false" outlineLevel="0" collapsed="false">
      <c r="I249" s="248" t="s">
        <v>492</v>
      </c>
      <c r="J249" s="479" t="e">
        <f aca="false">#REF!</f>
        <v>#REF!</v>
      </c>
    </row>
    <row r="250" customFormat="false" ht="20" hidden="false" customHeight="false" outlineLevel="0" collapsed="false">
      <c r="I250" s="480" t="s">
        <v>80</v>
      </c>
      <c r="J250" s="481" t="e">
        <f aca="false">J249+J248</f>
        <v>#REF!</v>
      </c>
    </row>
    <row r="251" customFormat="false" ht="17" hidden="false" customHeight="false" outlineLevel="0" collapsed="false"/>
    <row r="252" customFormat="false" ht="20" hidden="false" customHeight="false" outlineLevel="0" collapsed="false">
      <c r="I252" s="142" t="s">
        <v>493</v>
      </c>
      <c r="J252" s="142"/>
    </row>
    <row r="253" customFormat="false" ht="19" hidden="false" customHeight="false" outlineLevel="0" collapsed="false">
      <c r="I253" s="57" t="s">
        <v>494</v>
      </c>
      <c r="J253" s="475" t="e">
        <f aca="false">#REF!</f>
        <v>#REF!</v>
      </c>
    </row>
    <row r="254" customFormat="false" ht="19" hidden="false" customHeight="false" outlineLevel="0" collapsed="false">
      <c r="I254" s="111" t="s">
        <v>495</v>
      </c>
      <c r="J254" s="482" t="e">
        <f aca="false">L237</f>
        <v>#REF!</v>
      </c>
    </row>
    <row r="255" customFormat="false" ht="19" hidden="false" customHeight="false" outlineLevel="0" collapsed="false">
      <c r="I255" s="111" t="s">
        <v>137</v>
      </c>
      <c r="J255" s="476" t="n">
        <v>-114098</v>
      </c>
    </row>
    <row r="256" customFormat="false" ht="20" hidden="false" customHeight="false" outlineLevel="0" collapsed="false">
      <c r="I256" s="111" t="s">
        <v>496</v>
      </c>
      <c r="J256" s="482" t="n">
        <f aca="false">M11</f>
        <v>38423</v>
      </c>
    </row>
    <row r="257" customFormat="false" ht="20" hidden="false" customHeight="false" outlineLevel="0" collapsed="false">
      <c r="I257" s="483" t="s">
        <v>80</v>
      </c>
      <c r="J257" s="461" t="e">
        <f aca="false">SUM(J253:J256)</f>
        <v>#REF!</v>
      </c>
    </row>
    <row r="258" customFormat="false" ht="17" hidden="false" customHeight="false" outlineLevel="0" collapsed="false"/>
    <row r="259" customFormat="false" ht="20" hidden="false" customHeight="false" outlineLevel="0" collapsed="false">
      <c r="I259" s="141" t="s">
        <v>497</v>
      </c>
      <c r="J259" s="141"/>
    </row>
    <row r="260" customFormat="false" ht="19" hidden="false" customHeight="false" outlineLevel="0" collapsed="false">
      <c r="I260" s="57" t="s">
        <v>498</v>
      </c>
      <c r="J260" s="475" t="e">
        <f aca="false">L239</f>
        <v>#REF!</v>
      </c>
    </row>
    <row r="261" customFormat="false" ht="19" hidden="false" customHeight="false" outlineLevel="0" collapsed="false">
      <c r="I261" s="159" t="s">
        <v>121</v>
      </c>
      <c r="J261" s="430" t="n">
        <v>-360344</v>
      </c>
    </row>
    <row r="262" customFormat="false" ht="20" hidden="false" customHeight="false" outlineLevel="0" collapsed="false">
      <c r="I262" s="159" t="s">
        <v>499</v>
      </c>
      <c r="J262" s="430" t="n">
        <v>-395494</v>
      </c>
    </row>
    <row r="263" customFormat="false" ht="20" hidden="false" customHeight="false" outlineLevel="0" collapsed="false">
      <c r="I263" s="417" t="s">
        <v>500</v>
      </c>
      <c r="J263" s="484" t="e">
        <f aca="false">#REF!</f>
        <v>#REF!</v>
      </c>
    </row>
    <row r="264" customFormat="false" ht="20" hidden="false" customHeight="false" outlineLevel="0" collapsed="false">
      <c r="I264" s="485" t="s">
        <v>80</v>
      </c>
      <c r="J264" s="481" t="e">
        <f aca="false">SUM(J260:J263)</f>
        <v>#REF!</v>
      </c>
    </row>
    <row r="265" customFormat="false" ht="17" hidden="false" customHeight="false" outlineLevel="0" collapsed="false"/>
    <row r="266" customFormat="false" ht="17" hidden="false" customHeight="false" outlineLevel="0" collapsed="false">
      <c r="I266" s="426" t="s">
        <v>501</v>
      </c>
      <c r="J266" s="426"/>
    </row>
    <row r="267" customFormat="false" ht="17" hidden="false" customHeight="false" outlineLevel="0" collapsed="false">
      <c r="I267" s="486" t="s">
        <v>502</v>
      </c>
      <c r="J267" s="487" t="e">
        <f aca="false">#REF!</f>
        <v>#REF!</v>
      </c>
    </row>
    <row r="268" customFormat="false" ht="16" hidden="false" customHeight="false" outlineLevel="0" collapsed="false">
      <c r="I268" s="420" t="s">
        <v>503</v>
      </c>
      <c r="J268" s="421" t="n">
        <f aca="false">AW43</f>
        <v>-11841780</v>
      </c>
    </row>
    <row r="269" customFormat="false" ht="16" hidden="false" customHeight="false" outlineLevel="0" collapsed="false">
      <c r="I269" s="434" t="s">
        <v>11</v>
      </c>
      <c r="J269" s="488" t="n">
        <f aca="false">-EG19</f>
        <v>-2094012</v>
      </c>
    </row>
    <row r="270" customFormat="false" ht="16" hidden="false" customHeight="false" outlineLevel="0" collapsed="false">
      <c r="I270" s="434" t="s">
        <v>10</v>
      </c>
      <c r="J270" s="488" t="n">
        <f aca="false">-DV14</f>
        <v>-630305</v>
      </c>
    </row>
    <row r="271" customFormat="false" ht="17" hidden="false" customHeight="false" outlineLevel="0" collapsed="false">
      <c r="I271" s="429" t="s">
        <v>504</v>
      </c>
      <c r="J271" s="489" t="n">
        <f aca="false">-12400000*3</f>
        <v>-37200000</v>
      </c>
    </row>
    <row r="272" customFormat="false" ht="17" hidden="false" customHeight="false" outlineLevel="0" collapsed="false">
      <c r="I272" s="219" t="s">
        <v>505</v>
      </c>
      <c r="J272" s="445" t="e">
        <f aca="false">SUM(J267:J271)</f>
        <v>#REF!</v>
      </c>
    </row>
    <row r="273" customFormat="false" ht="17" hidden="false" customHeight="false" outlineLevel="0" collapsed="false">
      <c r="I273" s="490" t="s">
        <v>506</v>
      </c>
      <c r="J273" s="490"/>
    </row>
    <row r="274" customFormat="false" ht="16" hidden="false" customHeight="false" outlineLevel="0" collapsed="false">
      <c r="I274" s="57" t="s">
        <v>507</v>
      </c>
      <c r="J274" s="491" t="n">
        <f aca="false">K238</f>
        <v>0</v>
      </c>
    </row>
    <row r="275" customFormat="false" ht="16" hidden="false" customHeight="false" outlineLevel="0" collapsed="false">
      <c r="I275" s="111" t="s">
        <v>508</v>
      </c>
      <c r="J275" s="444" t="n">
        <f aca="false">K240</f>
        <v>0</v>
      </c>
    </row>
    <row r="276" customFormat="false" ht="17" hidden="false" customHeight="false" outlineLevel="0" collapsed="false">
      <c r="I276" s="159" t="s">
        <v>509</v>
      </c>
      <c r="J276" s="436" t="n">
        <f aca="false">K241</f>
        <v>0</v>
      </c>
    </row>
    <row r="277" customFormat="false" ht="17" hidden="false" customHeight="false" outlineLevel="0" collapsed="false">
      <c r="I277" s="219" t="s">
        <v>510</v>
      </c>
      <c r="J277" s="445" t="e">
        <f aca="false">SUM(J272:J276)</f>
        <v>#REF!</v>
      </c>
    </row>
  </sheetData>
  <mergeCells count="132">
    <mergeCell ref="A1:P1"/>
    <mergeCell ref="R1:AA1"/>
    <mergeCell ref="AC1:AL1"/>
    <mergeCell ref="AN1:AW1"/>
    <mergeCell ref="AY1:BH1"/>
    <mergeCell ref="BJ1:BS1"/>
    <mergeCell ref="BU1:CD1"/>
    <mergeCell ref="CF1:CO1"/>
    <mergeCell ref="CQ1:CZ1"/>
    <mergeCell ref="DB1:DK1"/>
    <mergeCell ref="DM1:DV1"/>
    <mergeCell ref="DX1:EG1"/>
    <mergeCell ref="A2:G2"/>
    <mergeCell ref="I2:J2"/>
    <mergeCell ref="L2:P2"/>
    <mergeCell ref="R2:AA2"/>
    <mergeCell ref="AC2:AL2"/>
    <mergeCell ref="AN2:AW2"/>
    <mergeCell ref="AY2:BH2"/>
    <mergeCell ref="BJ2:BS2"/>
    <mergeCell ref="BU2:CD2"/>
    <mergeCell ref="CF2:CO2"/>
    <mergeCell ref="CQ2:CZ2"/>
    <mergeCell ref="DB2:DK2"/>
    <mergeCell ref="DM2:DV2"/>
    <mergeCell ref="DX2:EG2"/>
    <mergeCell ref="R3:X3"/>
    <mergeCell ref="Z3:AA3"/>
    <mergeCell ref="AC3:AI3"/>
    <mergeCell ref="AK3:AL3"/>
    <mergeCell ref="AN3:AT3"/>
    <mergeCell ref="AV3:AW3"/>
    <mergeCell ref="AY3:BE3"/>
    <mergeCell ref="BG3:BH3"/>
    <mergeCell ref="BJ3:BP3"/>
    <mergeCell ref="BR3:BS3"/>
    <mergeCell ref="BU3:CA3"/>
    <mergeCell ref="CC3:CD3"/>
    <mergeCell ref="CF3:CL3"/>
    <mergeCell ref="CN3:CO3"/>
    <mergeCell ref="CQ3:CW3"/>
    <mergeCell ref="CY3:CZ3"/>
    <mergeCell ref="DB3:DH3"/>
    <mergeCell ref="DJ3:DK3"/>
    <mergeCell ref="DM3:DS3"/>
    <mergeCell ref="DU3:DV3"/>
    <mergeCell ref="DX3:ED3"/>
    <mergeCell ref="EF3:EG3"/>
    <mergeCell ref="A4:G4"/>
    <mergeCell ref="I4:J4"/>
    <mergeCell ref="I5:J5"/>
    <mergeCell ref="R5:X5"/>
    <mergeCell ref="Z5:AA5"/>
    <mergeCell ref="AC5:AI5"/>
    <mergeCell ref="AK5:AL5"/>
    <mergeCell ref="AN5:AT5"/>
    <mergeCell ref="AV5:AW5"/>
    <mergeCell ref="AY5:BE5"/>
    <mergeCell ref="BG5:BH5"/>
    <mergeCell ref="BJ5:BP5"/>
    <mergeCell ref="BR5:BS5"/>
    <mergeCell ref="BU5:CA5"/>
    <mergeCell ref="CC5:CD5"/>
    <mergeCell ref="CF5:CL5"/>
    <mergeCell ref="CN5:CO5"/>
    <mergeCell ref="CQ5:CW5"/>
    <mergeCell ref="CY5:CZ5"/>
    <mergeCell ref="DB5:DH5"/>
    <mergeCell ref="DJ5:DK5"/>
    <mergeCell ref="DM5:DS5"/>
    <mergeCell ref="DU5:DV5"/>
    <mergeCell ref="DX5:ED5"/>
    <mergeCell ref="EF5:EG5"/>
    <mergeCell ref="I6:J6"/>
    <mergeCell ref="AK7:AL7"/>
    <mergeCell ref="L8:O8"/>
    <mergeCell ref="BG8:BH8"/>
    <mergeCell ref="BR8:BS8"/>
    <mergeCell ref="CC8:CD8"/>
    <mergeCell ref="CY8:CZ8"/>
    <mergeCell ref="EF8:EG8"/>
    <mergeCell ref="I9:J9"/>
    <mergeCell ref="DJ9:DK9"/>
    <mergeCell ref="R10:X10"/>
    <mergeCell ref="CN10:CO10"/>
    <mergeCell ref="Z11:AA11"/>
    <mergeCell ref="AC11:AI11"/>
    <mergeCell ref="A12:G12"/>
    <mergeCell ref="BG12:BH12"/>
    <mergeCell ref="AV13:AW13"/>
    <mergeCell ref="BR13:BS13"/>
    <mergeCell ref="R14:X14"/>
    <mergeCell ref="CN15:CO15"/>
    <mergeCell ref="EF15:EG15"/>
    <mergeCell ref="BR16:BS16"/>
    <mergeCell ref="I18:J18"/>
    <mergeCell ref="P18:P24"/>
    <mergeCell ref="Z18:AA18"/>
    <mergeCell ref="AK18:AL18"/>
    <mergeCell ref="L23:M23"/>
    <mergeCell ref="A26:G26"/>
    <mergeCell ref="I28:J28"/>
    <mergeCell ref="AK29:AL29"/>
    <mergeCell ref="AV30:AW30"/>
    <mergeCell ref="A31:G31"/>
    <mergeCell ref="I32:J32"/>
    <mergeCell ref="I35:J35"/>
    <mergeCell ref="AC35:AI35"/>
    <mergeCell ref="I40:J40"/>
    <mergeCell ref="AC42:AI42"/>
    <mergeCell ref="I47:J47"/>
    <mergeCell ref="AC49:AI49"/>
    <mergeCell ref="AC58:AI58"/>
    <mergeCell ref="I73:J73"/>
    <mergeCell ref="A74:G74"/>
    <mergeCell ref="I78:J78"/>
    <mergeCell ref="A87:G87"/>
    <mergeCell ref="I95:J95"/>
    <mergeCell ref="I102:J102"/>
    <mergeCell ref="I146:J146"/>
    <mergeCell ref="I175:J175"/>
    <mergeCell ref="I189:J189"/>
    <mergeCell ref="I197:J197"/>
    <mergeCell ref="I202:J202"/>
    <mergeCell ref="I207:J207"/>
    <mergeCell ref="I217:J217"/>
    <mergeCell ref="I230:J230"/>
    <mergeCell ref="I242:J242"/>
    <mergeCell ref="I252:J252"/>
    <mergeCell ref="I259:J259"/>
    <mergeCell ref="I266:J266"/>
    <mergeCell ref="I273:J27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Y1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V7" activeCellId="0" sqref="BV7"/>
    </sheetView>
  </sheetViews>
  <sheetFormatPr defaultColWidth="10.58203125" defaultRowHeight="16" zeroHeight="false" outlineLevelRow="0" outlineLevelCol="0"/>
  <cols>
    <col collapsed="false" customWidth="true" hidden="false" outlineLevel="0" max="1" min="1" style="0" width="11.66"/>
    <col collapsed="false" customWidth="true" hidden="false" outlineLevel="0" max="3" min="2" style="0" width="13.5"/>
    <col collapsed="false" customWidth="true" hidden="false" outlineLevel="0" max="4" min="4" style="0" width="14.33"/>
    <col collapsed="false" customWidth="true" hidden="false" outlineLevel="0" max="6" min="6" style="0" width="11.66"/>
    <col collapsed="false" customWidth="true" hidden="false" outlineLevel="0" max="7" min="7" style="0" width="12.33"/>
    <col collapsed="false" customWidth="true" hidden="false" outlineLevel="0" max="8" min="8" style="0" width="11.5"/>
    <col collapsed="false" customWidth="true" hidden="false" outlineLevel="0" max="9" min="9" style="0" width="13.17"/>
    <col collapsed="false" customWidth="true" hidden="false" outlineLevel="0" max="11" min="11" style="0" width="11.66"/>
    <col collapsed="false" customWidth="true" hidden="false" outlineLevel="0" max="13" min="12" style="0" width="12.33"/>
    <col collapsed="false" customWidth="true" hidden="false" outlineLevel="0" max="14" min="14" style="0" width="15.34"/>
    <col collapsed="false" customWidth="true" hidden="false" outlineLevel="0" max="16" min="16" style="0" width="11.66"/>
    <col collapsed="false" customWidth="true" hidden="false" outlineLevel="0" max="18" min="17" style="0" width="12.33"/>
    <col collapsed="false" customWidth="true" hidden="false" outlineLevel="0" max="19" min="19" style="0" width="14.33"/>
    <col collapsed="false" customWidth="true" hidden="false" outlineLevel="0" max="23" min="23" style="0" width="13.5"/>
    <col collapsed="false" customWidth="true" hidden="false" outlineLevel="0" max="24" min="24" style="0" width="15.5"/>
    <col collapsed="false" customWidth="true" hidden="false" outlineLevel="0" max="26" min="26" style="0" width="11.66"/>
    <col collapsed="false" customWidth="true" hidden="false" outlineLevel="0" max="28" min="27" style="0" width="12.33"/>
    <col collapsed="false" customWidth="true" hidden="false" outlineLevel="0" max="29" min="29" style="0" width="13.17"/>
    <col collapsed="false" customWidth="true" hidden="false" outlineLevel="0" max="30" min="30" style="229" width="10.83"/>
    <col collapsed="false" customWidth="true" hidden="false" outlineLevel="0" max="33" min="32" style="0" width="12.33"/>
    <col collapsed="false" customWidth="true" hidden="false" outlineLevel="0" max="34" min="34" style="0" width="13.17"/>
    <col collapsed="false" customWidth="true" hidden="false" outlineLevel="0" max="38" min="37" style="0" width="12.33"/>
    <col collapsed="false" customWidth="true" hidden="false" outlineLevel="0" max="39" min="39" style="0" width="13.17"/>
    <col collapsed="false" customWidth="true" hidden="false" outlineLevel="0" max="43" min="42" style="0" width="12.33"/>
    <col collapsed="false" customWidth="true" hidden="false" outlineLevel="0" max="44" min="44" style="0" width="13.17"/>
    <col collapsed="false" customWidth="true" hidden="false" outlineLevel="0" max="48" min="47" style="0" width="12.33"/>
    <col collapsed="false" customWidth="true" hidden="false" outlineLevel="0" max="49" min="49" style="0" width="13.17"/>
    <col collapsed="false" customWidth="true" hidden="false" outlineLevel="0" max="53" min="52" style="0" width="12.33"/>
    <col collapsed="false" customWidth="true" hidden="false" outlineLevel="0" max="54" min="54" style="0" width="13.17"/>
    <col collapsed="false" customWidth="true" hidden="false" outlineLevel="0" max="56" min="56" style="0" width="11.66"/>
    <col collapsed="false" customWidth="true" hidden="false" outlineLevel="0" max="58" min="57" style="0" width="13.5"/>
    <col collapsed="false" customWidth="true" hidden="false" outlineLevel="0" max="59" min="59" style="0" width="14.33"/>
    <col collapsed="false" customWidth="true" hidden="false" outlineLevel="0" max="62" min="62" style="0" width="12.51"/>
    <col collapsed="false" customWidth="true" hidden="false" outlineLevel="0" max="63" min="63" style="0" width="13.5"/>
    <col collapsed="false" customWidth="true" hidden="false" outlineLevel="0" max="64" min="64" style="0" width="15.5"/>
    <col collapsed="false" customWidth="true" hidden="false" outlineLevel="0" max="65" min="65" style="229" width="15.5"/>
    <col collapsed="false" customWidth="true" hidden="false" outlineLevel="0" max="68" min="68" style="0" width="13.5"/>
    <col collapsed="false" customWidth="true" hidden="false" outlineLevel="0" max="69" min="69" style="0" width="14.33"/>
    <col collapsed="false" customWidth="true" hidden="false" outlineLevel="0" max="72" min="72" style="0" width="11.66"/>
    <col collapsed="false" customWidth="true" hidden="false" outlineLevel="0" max="73" min="73" style="0" width="13.5"/>
    <col collapsed="false" customWidth="true" hidden="false" outlineLevel="0" max="74" min="74" style="0" width="14.67"/>
    <col collapsed="false" customWidth="true" hidden="false" outlineLevel="0" max="75" min="75" style="0" width="15.5"/>
    <col collapsed="false" customWidth="true" hidden="false" outlineLevel="0" max="76" min="76" style="0" width="15.34"/>
    <col collapsed="false" customWidth="true" hidden="false" outlineLevel="0" max="77" min="77" style="0" width="13.5"/>
  </cols>
  <sheetData>
    <row r="1" customFormat="false" ht="17" hidden="false" customHeight="false" outlineLevel="0" collapsed="false">
      <c r="A1" s="492" t="s">
        <v>511</v>
      </c>
      <c r="B1" s="492"/>
      <c r="C1" s="492"/>
      <c r="D1" s="492"/>
      <c r="F1" s="492" t="s">
        <v>512</v>
      </c>
      <c r="G1" s="492"/>
      <c r="H1" s="492"/>
      <c r="I1" s="492"/>
      <c r="K1" s="492" t="s">
        <v>513</v>
      </c>
      <c r="L1" s="492"/>
      <c r="M1" s="492"/>
      <c r="N1" s="492"/>
      <c r="P1" s="492" t="s">
        <v>468</v>
      </c>
      <c r="Q1" s="492"/>
      <c r="R1" s="492"/>
      <c r="S1" s="492"/>
      <c r="U1" s="492" t="s">
        <v>514</v>
      </c>
      <c r="V1" s="492"/>
      <c r="W1" s="492"/>
      <c r="X1" s="492"/>
      <c r="Z1" s="492" t="s">
        <v>515</v>
      </c>
      <c r="AA1" s="492"/>
      <c r="AB1" s="492"/>
      <c r="AC1" s="492"/>
      <c r="AD1" s="262"/>
      <c r="AE1" s="492" t="s">
        <v>516</v>
      </c>
      <c r="AF1" s="492"/>
      <c r="AG1" s="492"/>
      <c r="AH1" s="492"/>
      <c r="AJ1" s="492" t="s">
        <v>517</v>
      </c>
      <c r="AK1" s="492"/>
      <c r="AL1" s="492"/>
      <c r="AM1" s="492"/>
      <c r="AO1" s="492" t="s">
        <v>518</v>
      </c>
      <c r="AP1" s="492"/>
      <c r="AQ1" s="492"/>
      <c r="AR1" s="492"/>
      <c r="AT1" s="492" t="s">
        <v>519</v>
      </c>
      <c r="AU1" s="492"/>
      <c r="AV1" s="492"/>
      <c r="AW1" s="492"/>
      <c r="AY1" s="492" t="s">
        <v>520</v>
      </c>
      <c r="AZ1" s="492"/>
      <c r="BA1" s="492"/>
      <c r="BB1" s="492"/>
      <c r="BD1" s="492" t="s">
        <v>521</v>
      </c>
      <c r="BE1" s="492"/>
      <c r="BF1" s="492"/>
      <c r="BG1" s="492"/>
      <c r="BI1" s="492" t="s">
        <v>522</v>
      </c>
      <c r="BJ1" s="492"/>
      <c r="BK1" s="492"/>
      <c r="BL1" s="492"/>
      <c r="BM1" s="262"/>
      <c r="BN1" s="492" t="s">
        <v>523</v>
      </c>
      <c r="BO1" s="492"/>
      <c r="BP1" s="492"/>
      <c r="BQ1" s="492"/>
      <c r="BT1" s="492" t="s">
        <v>524</v>
      </c>
      <c r="BU1" s="492"/>
      <c r="BV1" s="492"/>
      <c r="BW1" s="492"/>
      <c r="BX1" s="492"/>
    </row>
    <row r="2" customFormat="false" ht="17" hidden="false" customHeight="false" outlineLevel="0" collapsed="false">
      <c r="A2" s="41" t="s">
        <v>525</v>
      </c>
      <c r="B2" s="493" t="s">
        <v>12</v>
      </c>
      <c r="C2" s="494" t="s">
        <v>526</v>
      </c>
      <c r="D2" s="495" t="s">
        <v>527</v>
      </c>
      <c r="F2" s="40" t="s">
        <v>525</v>
      </c>
      <c r="G2" s="496" t="s">
        <v>12</v>
      </c>
      <c r="H2" s="497" t="s">
        <v>526</v>
      </c>
      <c r="I2" s="498" t="s">
        <v>527</v>
      </c>
      <c r="K2" s="128" t="s">
        <v>525</v>
      </c>
      <c r="L2" s="499" t="s">
        <v>12</v>
      </c>
      <c r="M2" s="496" t="s">
        <v>526</v>
      </c>
      <c r="N2" s="500" t="s">
        <v>527</v>
      </c>
      <c r="P2" s="40" t="s">
        <v>525</v>
      </c>
      <c r="Q2" s="496" t="s">
        <v>12</v>
      </c>
      <c r="R2" s="497" t="s">
        <v>526</v>
      </c>
      <c r="S2" s="498" t="s">
        <v>527</v>
      </c>
      <c r="U2" s="40" t="s">
        <v>525</v>
      </c>
      <c r="V2" s="496" t="s">
        <v>12</v>
      </c>
      <c r="W2" s="497" t="s">
        <v>526</v>
      </c>
      <c r="X2" s="498" t="s">
        <v>527</v>
      </c>
      <c r="Z2" s="128" t="s">
        <v>525</v>
      </c>
      <c r="AA2" s="499" t="s">
        <v>12</v>
      </c>
      <c r="AB2" s="496" t="s">
        <v>526</v>
      </c>
      <c r="AC2" s="500" t="s">
        <v>527</v>
      </c>
      <c r="AD2" s="217"/>
      <c r="AE2" s="40" t="s">
        <v>525</v>
      </c>
      <c r="AF2" s="496" t="s">
        <v>12</v>
      </c>
      <c r="AG2" s="497" t="s">
        <v>526</v>
      </c>
      <c r="AH2" s="498" t="s">
        <v>527</v>
      </c>
      <c r="AJ2" s="40" t="s">
        <v>525</v>
      </c>
      <c r="AK2" s="496" t="s">
        <v>12</v>
      </c>
      <c r="AL2" s="497" t="s">
        <v>526</v>
      </c>
      <c r="AM2" s="498" t="s">
        <v>527</v>
      </c>
      <c r="AO2" s="128" t="s">
        <v>525</v>
      </c>
      <c r="AP2" s="499" t="s">
        <v>12</v>
      </c>
      <c r="AQ2" s="496" t="s">
        <v>526</v>
      </c>
      <c r="AR2" s="500" t="s">
        <v>527</v>
      </c>
      <c r="AT2" s="40" t="s">
        <v>525</v>
      </c>
      <c r="AU2" s="496" t="s">
        <v>12</v>
      </c>
      <c r="AV2" s="497" t="s">
        <v>526</v>
      </c>
      <c r="AW2" s="498" t="s">
        <v>527</v>
      </c>
      <c r="AY2" s="40" t="s">
        <v>525</v>
      </c>
      <c r="AZ2" s="496" t="s">
        <v>12</v>
      </c>
      <c r="BA2" s="497" t="s">
        <v>526</v>
      </c>
      <c r="BB2" s="498" t="s">
        <v>527</v>
      </c>
      <c r="BD2" s="128" t="s">
        <v>525</v>
      </c>
      <c r="BE2" s="499" t="s">
        <v>12</v>
      </c>
      <c r="BF2" s="496" t="s">
        <v>526</v>
      </c>
      <c r="BG2" s="500" t="s">
        <v>527</v>
      </c>
      <c r="BI2" s="128" t="s">
        <v>525</v>
      </c>
      <c r="BJ2" s="499" t="s">
        <v>12</v>
      </c>
      <c r="BK2" s="496" t="s">
        <v>526</v>
      </c>
      <c r="BL2" s="500" t="s">
        <v>527</v>
      </c>
      <c r="BM2" s="217"/>
      <c r="BN2" s="128" t="s">
        <v>525</v>
      </c>
      <c r="BO2" s="499" t="s">
        <v>12</v>
      </c>
      <c r="BP2" s="496" t="s">
        <v>526</v>
      </c>
      <c r="BQ2" s="500" t="s">
        <v>527</v>
      </c>
      <c r="BT2" s="126" t="s">
        <v>525</v>
      </c>
      <c r="BU2" s="183" t="s">
        <v>12</v>
      </c>
      <c r="BV2" s="497" t="s">
        <v>526</v>
      </c>
      <c r="BW2" s="497" t="s">
        <v>527</v>
      </c>
      <c r="BX2" s="498" t="s">
        <v>528</v>
      </c>
    </row>
    <row r="3" s="25" customFormat="true" ht="16" hidden="false" customHeight="false" outlineLevel="0" collapsed="false">
      <c r="A3" s="501" t="s">
        <v>529</v>
      </c>
      <c r="B3" s="502"/>
      <c r="C3" s="503"/>
      <c r="D3" s="504"/>
      <c r="F3" s="505" t="s">
        <v>529</v>
      </c>
      <c r="G3" s="506"/>
      <c r="H3" s="507"/>
      <c r="I3" s="508"/>
      <c r="K3" s="505" t="s">
        <v>529</v>
      </c>
      <c r="L3" s="506"/>
      <c r="M3" s="509"/>
      <c r="N3" s="510"/>
      <c r="P3" s="505" t="s">
        <v>529</v>
      </c>
      <c r="Q3" s="506"/>
      <c r="R3" s="507"/>
      <c r="S3" s="508"/>
      <c r="U3" s="505" t="s">
        <v>529</v>
      </c>
      <c r="V3" s="506"/>
      <c r="W3" s="507"/>
      <c r="X3" s="511"/>
      <c r="Z3" s="505" t="s">
        <v>529</v>
      </c>
      <c r="AA3" s="506"/>
      <c r="AB3" s="509"/>
      <c r="AC3" s="512"/>
      <c r="AD3" s="261"/>
      <c r="AE3" s="505" t="s">
        <v>529</v>
      </c>
      <c r="AF3" s="506"/>
      <c r="AG3" s="507"/>
      <c r="AH3" s="511"/>
      <c r="AJ3" s="505" t="s">
        <v>529</v>
      </c>
      <c r="AK3" s="506"/>
      <c r="AL3" s="507"/>
      <c r="AM3" s="511"/>
      <c r="AO3" s="505" t="s">
        <v>529</v>
      </c>
      <c r="AP3" s="506"/>
      <c r="AQ3" s="509"/>
      <c r="AR3" s="510"/>
      <c r="AT3" s="505" t="s">
        <v>529</v>
      </c>
      <c r="AU3" s="506"/>
      <c r="AV3" s="507"/>
      <c r="AW3" s="508"/>
      <c r="AY3" s="505" t="s">
        <v>529</v>
      </c>
      <c r="AZ3" s="506"/>
      <c r="BA3" s="507"/>
      <c r="BB3" s="508"/>
      <c r="BD3" s="505" t="s">
        <v>529</v>
      </c>
      <c r="BE3" s="506"/>
      <c r="BF3" s="509"/>
      <c r="BG3" s="512"/>
      <c r="BI3" s="505" t="s">
        <v>529</v>
      </c>
      <c r="BJ3" s="513" t="n">
        <v>0</v>
      </c>
      <c r="BK3" s="513" t="n">
        <v>0</v>
      </c>
      <c r="BL3" s="514" t="n">
        <v>0</v>
      </c>
      <c r="BM3" s="515"/>
      <c r="BN3" s="505" t="s">
        <v>529</v>
      </c>
      <c r="BO3" s="513" t="n">
        <v>0</v>
      </c>
      <c r="BP3" s="513" t="n">
        <v>0</v>
      </c>
      <c r="BQ3" s="514" t="n">
        <v>0</v>
      </c>
      <c r="BT3" s="516" t="s">
        <v>529</v>
      </c>
      <c r="BU3" s="517" t="n">
        <f aca="false">B3+G3+L3+Q3+V3+AA3+AF3+AK3+AP3+AU3+AZ3+BE3+BJ3+BO3</f>
        <v>0</v>
      </c>
      <c r="BV3" s="518" t="n">
        <f aca="false">BF3+BA3+AV3+AQ3+AL3+AG3+AB3+W3+R3+M3+H3+C3+BK3+BP3</f>
        <v>0</v>
      </c>
      <c r="BW3" s="507" t="n">
        <f aca="false">D3+I3+N3+S3+X3+AC3+AH3+AM3+AR3+AW3+BB3+BG3+BL3+BQ3</f>
        <v>0</v>
      </c>
      <c r="BX3" s="511" t="n">
        <f aca="false">BU3-BV3</f>
        <v>0</v>
      </c>
    </row>
    <row r="4" s="25" customFormat="true" ht="16" hidden="false" customHeight="false" outlineLevel="0" collapsed="false">
      <c r="A4" s="519" t="s">
        <v>530</v>
      </c>
      <c r="B4" s="520"/>
      <c r="C4" s="521"/>
      <c r="D4" s="522"/>
      <c r="F4" s="523" t="s">
        <v>530</v>
      </c>
      <c r="G4" s="524"/>
      <c r="H4" s="521"/>
      <c r="I4" s="508"/>
      <c r="K4" s="505" t="s">
        <v>530</v>
      </c>
      <c r="L4" s="506"/>
      <c r="M4" s="509"/>
      <c r="N4" s="510"/>
      <c r="P4" s="523" t="s">
        <v>530</v>
      </c>
      <c r="Q4" s="524"/>
      <c r="R4" s="521"/>
      <c r="S4" s="508"/>
      <c r="U4" s="523" t="s">
        <v>530</v>
      </c>
      <c r="V4" s="524"/>
      <c r="W4" s="521"/>
      <c r="X4" s="511"/>
      <c r="Z4" s="505" t="s">
        <v>530</v>
      </c>
      <c r="AA4" s="506"/>
      <c r="AB4" s="509"/>
      <c r="AC4" s="512"/>
      <c r="AD4" s="261"/>
      <c r="AE4" s="523" t="s">
        <v>530</v>
      </c>
      <c r="AF4" s="524"/>
      <c r="AG4" s="521"/>
      <c r="AH4" s="511"/>
      <c r="AJ4" s="523" t="s">
        <v>530</v>
      </c>
      <c r="AK4" s="524"/>
      <c r="AL4" s="521"/>
      <c r="AM4" s="511"/>
      <c r="AO4" s="505" t="s">
        <v>530</v>
      </c>
      <c r="AP4" s="506"/>
      <c r="AQ4" s="509"/>
      <c r="AR4" s="510"/>
      <c r="AT4" s="523" t="s">
        <v>530</v>
      </c>
      <c r="AU4" s="524"/>
      <c r="AV4" s="521"/>
      <c r="AW4" s="511"/>
      <c r="AY4" s="523" t="s">
        <v>530</v>
      </c>
      <c r="AZ4" s="524"/>
      <c r="BA4" s="521"/>
      <c r="BB4" s="508"/>
      <c r="BD4" s="505" t="s">
        <v>530</v>
      </c>
      <c r="BE4" s="506"/>
      <c r="BF4" s="509"/>
      <c r="BG4" s="512"/>
      <c r="BI4" s="505" t="s">
        <v>530</v>
      </c>
      <c r="BJ4" s="513" t="n">
        <v>0</v>
      </c>
      <c r="BK4" s="513" t="n">
        <v>0</v>
      </c>
      <c r="BL4" s="514" t="n">
        <v>0</v>
      </c>
      <c r="BM4" s="515"/>
      <c r="BN4" s="505" t="s">
        <v>530</v>
      </c>
      <c r="BO4" s="513" t="n">
        <v>0</v>
      </c>
      <c r="BP4" s="513" t="n">
        <v>0</v>
      </c>
      <c r="BQ4" s="514" t="n">
        <v>0</v>
      </c>
      <c r="BT4" s="516" t="s">
        <v>530</v>
      </c>
      <c r="BU4" s="520" t="n">
        <f aca="false">B4+G4+L4+Q4+V4+AA4+AF4+AK4+AP4+AU4+AZ4+BE4+BJ4+BO4</f>
        <v>0</v>
      </c>
      <c r="BV4" s="525" t="n">
        <f aca="false">BF4+BA4+AV4+AQ4+AL4+AG4+AB4+W4+R4+M4+H4+C4+BK4+BP4</f>
        <v>0</v>
      </c>
      <c r="BW4" s="521" t="n">
        <f aca="false">D4+I4+N4+S4+X4+AC4+AH4+AM4+AR4+AW4+BB4+BG4+BL4+BQ4</f>
        <v>0</v>
      </c>
      <c r="BX4" s="522" t="n">
        <f aca="false">BU4-BV4</f>
        <v>0</v>
      </c>
    </row>
    <row r="5" customFormat="false" ht="16" hidden="false" customHeight="false" outlineLevel="0" collapsed="false">
      <c r="A5" s="519" t="s">
        <v>531</v>
      </c>
      <c r="B5" s="520"/>
      <c r="C5" s="526"/>
      <c r="D5" s="527"/>
      <c r="F5" s="523" t="s">
        <v>531</v>
      </c>
      <c r="G5" s="525"/>
      <c r="H5" s="526"/>
      <c r="I5" s="508"/>
      <c r="K5" s="505" t="s">
        <v>531</v>
      </c>
      <c r="L5" s="525"/>
      <c r="M5" s="526"/>
      <c r="N5" s="510"/>
      <c r="P5" s="523" t="s">
        <v>531</v>
      </c>
      <c r="Q5" s="525"/>
      <c r="R5" s="526"/>
      <c r="S5" s="508"/>
      <c r="U5" s="523" t="s">
        <v>531</v>
      </c>
      <c r="V5" s="525"/>
      <c r="W5" s="526"/>
      <c r="X5" s="511"/>
      <c r="Z5" s="505" t="s">
        <v>531</v>
      </c>
      <c r="AA5" s="525"/>
      <c r="AB5" s="526"/>
      <c r="AC5" s="512"/>
      <c r="AD5" s="528"/>
      <c r="AE5" s="523" t="s">
        <v>531</v>
      </c>
      <c r="AF5" s="525"/>
      <c r="AG5" s="526"/>
      <c r="AH5" s="508"/>
      <c r="AJ5" s="523" t="s">
        <v>531</v>
      </c>
      <c r="AK5" s="525"/>
      <c r="AL5" s="526"/>
      <c r="AM5" s="508"/>
      <c r="AO5" s="505" t="s">
        <v>531</v>
      </c>
      <c r="AP5" s="525"/>
      <c r="AQ5" s="526"/>
      <c r="AR5" s="512"/>
      <c r="AT5" s="523" t="s">
        <v>531</v>
      </c>
      <c r="AU5" s="525"/>
      <c r="AV5" s="526"/>
      <c r="AW5" s="508"/>
      <c r="AY5" s="523" t="s">
        <v>531</v>
      </c>
      <c r="AZ5" s="525"/>
      <c r="BA5" s="526"/>
      <c r="BB5" s="508"/>
      <c r="BD5" s="505" t="s">
        <v>531</v>
      </c>
      <c r="BE5" s="408"/>
      <c r="BF5" s="526"/>
      <c r="BG5" s="512"/>
      <c r="BI5" s="505" t="s">
        <v>531</v>
      </c>
      <c r="BJ5" s="525"/>
      <c r="BK5" s="526"/>
      <c r="BL5" s="512"/>
      <c r="BM5" s="515"/>
      <c r="BN5" s="505" t="s">
        <v>531</v>
      </c>
      <c r="BO5" s="513" t="n">
        <v>0</v>
      </c>
      <c r="BP5" s="513" t="n">
        <v>0</v>
      </c>
      <c r="BQ5" s="514" t="n">
        <v>0</v>
      </c>
      <c r="BT5" s="516" t="s">
        <v>531</v>
      </c>
      <c r="BU5" s="520" t="n">
        <f aca="false">B5+G5+L5+Q5+V5+AA5+AF5+AK5+AP5+AU5+AZ5+BE5+BJ5+BO5</f>
        <v>0</v>
      </c>
      <c r="BV5" s="525" t="n">
        <f aca="false">BF5+BA5+AV5+AQ5+AL5+AG5+AB5+W5+R5+M5+H5+C5+BK5+BP5</f>
        <v>0</v>
      </c>
      <c r="BW5" s="525" t="n">
        <f aca="false">D5+I5+N5+S5+X5+AC5+AH5+AM5+AR5+AW5+BB5+BG5+BL5+BQ5</f>
        <v>0</v>
      </c>
      <c r="BX5" s="527" t="n">
        <f aca="false">BU5-BV5</f>
        <v>0</v>
      </c>
    </row>
    <row r="6" customFormat="false" ht="16" hidden="false" customHeight="false" outlineLevel="0" collapsed="false">
      <c r="A6" s="519" t="s">
        <v>532</v>
      </c>
      <c r="B6" s="520"/>
      <c r="C6" s="526"/>
      <c r="D6" s="522"/>
      <c r="F6" s="523" t="s">
        <v>532</v>
      </c>
      <c r="G6" s="525"/>
      <c r="H6" s="526"/>
      <c r="I6" s="511"/>
      <c r="K6" s="505" t="s">
        <v>532</v>
      </c>
      <c r="L6" s="525"/>
      <c r="M6" s="526"/>
      <c r="N6" s="510"/>
      <c r="P6" s="523" t="s">
        <v>532</v>
      </c>
      <c r="Q6" s="525"/>
      <c r="R6" s="526"/>
      <c r="S6" s="508"/>
      <c r="U6" s="523" t="s">
        <v>532</v>
      </c>
      <c r="V6" s="525"/>
      <c r="W6" s="526"/>
      <c r="X6" s="511"/>
      <c r="Z6" s="505" t="s">
        <v>532</v>
      </c>
      <c r="AA6" s="525"/>
      <c r="AB6" s="526"/>
      <c r="AC6" s="512"/>
      <c r="AD6" s="515"/>
      <c r="AE6" s="523" t="s">
        <v>532</v>
      </c>
      <c r="AF6" s="525"/>
      <c r="AG6" s="526"/>
      <c r="AH6" s="508"/>
      <c r="AJ6" s="523" t="s">
        <v>532</v>
      </c>
      <c r="AK6" s="525"/>
      <c r="AL6" s="526"/>
      <c r="AM6" s="508"/>
      <c r="AO6" s="505" t="s">
        <v>532</v>
      </c>
      <c r="AP6" s="525"/>
      <c r="AQ6" s="526"/>
      <c r="AR6" s="510"/>
      <c r="AT6" s="523" t="s">
        <v>532</v>
      </c>
      <c r="AU6" s="525"/>
      <c r="AV6" s="526"/>
      <c r="AW6" s="508"/>
      <c r="AY6" s="523" t="s">
        <v>532</v>
      </c>
      <c r="AZ6" s="525"/>
      <c r="BA6" s="526"/>
      <c r="BB6" s="508"/>
      <c r="BD6" s="505" t="s">
        <v>532</v>
      </c>
      <c r="BE6" s="525"/>
      <c r="BF6" s="526"/>
      <c r="BG6" s="510"/>
      <c r="BI6" s="505" t="s">
        <v>532</v>
      </c>
      <c r="BJ6" s="525"/>
      <c r="BK6" s="112"/>
      <c r="BL6" s="512"/>
      <c r="BM6" s="515"/>
      <c r="BN6" s="505" t="s">
        <v>532</v>
      </c>
      <c r="BO6" s="525"/>
      <c r="BP6" s="526"/>
      <c r="BQ6" s="512"/>
      <c r="BT6" s="516" t="s">
        <v>532</v>
      </c>
      <c r="BU6" s="520" t="n">
        <f aca="false">B6+G6+L6+Q6+V6+AA6+AF6+AK6+AP6+AU6+AZ6+BE6+BJ6+BO6</f>
        <v>0</v>
      </c>
      <c r="BV6" s="525" t="n">
        <f aca="false">BF6+BA6+AV6+AQ6+AL6+AG6+AB6+W6+R6+M6+H6+C6+BK6+BP6</f>
        <v>0</v>
      </c>
      <c r="BW6" s="521" t="n">
        <f aca="false">D6+I6+N6+S6+X6+AC6+AH6+AM6+AR6+AW6+BB6+BG6+BL6+BQ6</f>
        <v>0</v>
      </c>
      <c r="BX6" s="522" t="n">
        <f aca="false">BU6-BV6</f>
        <v>0</v>
      </c>
      <c r="BY6" s="148"/>
    </row>
    <row r="7" customFormat="false" ht="16" hidden="false" customHeight="false" outlineLevel="0" collapsed="false">
      <c r="A7" s="519" t="s">
        <v>533</v>
      </c>
      <c r="B7" s="520"/>
      <c r="C7" s="526"/>
      <c r="D7" s="522"/>
      <c r="F7" s="523" t="s">
        <v>533</v>
      </c>
      <c r="G7" s="525"/>
      <c r="H7" s="526"/>
      <c r="I7" s="508"/>
      <c r="K7" s="505" t="s">
        <v>533</v>
      </c>
      <c r="L7" s="529" t="n">
        <v>0</v>
      </c>
      <c r="M7" s="530" t="n">
        <v>0</v>
      </c>
      <c r="N7" s="514" t="n">
        <v>0</v>
      </c>
      <c r="P7" s="523" t="s">
        <v>533</v>
      </c>
      <c r="Q7" s="525"/>
      <c r="R7" s="526"/>
      <c r="S7" s="508"/>
      <c r="U7" s="523" t="s">
        <v>533</v>
      </c>
      <c r="V7" s="408"/>
      <c r="W7" s="526"/>
      <c r="X7" s="511"/>
      <c r="Z7" s="505" t="s">
        <v>533</v>
      </c>
      <c r="AA7" s="525"/>
      <c r="AB7" s="526"/>
      <c r="AC7" s="512"/>
      <c r="AD7" s="515"/>
      <c r="AE7" s="523" t="s">
        <v>533</v>
      </c>
      <c r="AF7" s="525"/>
      <c r="AG7" s="526"/>
      <c r="AH7" s="508"/>
      <c r="AJ7" s="523" t="s">
        <v>533</v>
      </c>
      <c r="AK7" s="525"/>
      <c r="AL7" s="526"/>
      <c r="AM7" s="508"/>
      <c r="AO7" s="505" t="s">
        <v>533</v>
      </c>
      <c r="AP7" s="529" t="n">
        <v>0</v>
      </c>
      <c r="AQ7" s="530" t="n">
        <v>0</v>
      </c>
      <c r="AR7" s="514" t="n">
        <f aca="false">AP7-AQ7</f>
        <v>0</v>
      </c>
      <c r="AT7" s="523" t="s">
        <v>533</v>
      </c>
      <c r="AU7" s="525"/>
      <c r="AV7" s="526"/>
      <c r="AW7" s="508"/>
      <c r="AY7" s="523" t="s">
        <v>533</v>
      </c>
      <c r="AZ7" s="525"/>
      <c r="BA7" s="526"/>
      <c r="BB7" s="508"/>
      <c r="BD7" s="505" t="s">
        <v>533</v>
      </c>
      <c r="BE7" s="525"/>
      <c r="BF7" s="526"/>
      <c r="BG7" s="510"/>
      <c r="BI7" s="505" t="s">
        <v>533</v>
      </c>
      <c r="BJ7" s="408"/>
      <c r="BK7" s="526"/>
      <c r="BL7" s="512"/>
      <c r="BM7" s="515"/>
      <c r="BN7" s="505" t="s">
        <v>533</v>
      </c>
      <c r="BO7" s="408"/>
      <c r="BP7" s="526"/>
      <c r="BQ7" s="512"/>
      <c r="BT7" s="516" t="s">
        <v>533</v>
      </c>
      <c r="BU7" s="520" t="n">
        <f aca="false">B7+G7+L7+Q7+V7+AA7+AF7+AK7+AP7+AU7+AZ7+BE7+BJ7+BO7</f>
        <v>0</v>
      </c>
      <c r="BV7" s="525" t="n">
        <f aca="false">BF7+BA7+AV7+AQ7+AL7+AG7+AB7+W7+R7+M7+H7+C7+BK7+BP7</f>
        <v>0</v>
      </c>
      <c r="BW7" s="525" t="n">
        <f aca="false">D7+I7+N7+S7+X7+AC7+AH7+AM7+AR7+AW7+BB7+BG7+BL7+BQ7</f>
        <v>0</v>
      </c>
      <c r="BX7" s="527" t="n">
        <f aca="false">BU7-BV7</f>
        <v>0</v>
      </c>
      <c r="BY7" s="148"/>
    </row>
    <row r="8" customFormat="false" ht="16" hidden="false" customHeight="false" outlineLevel="0" collapsed="false">
      <c r="A8" s="519" t="s">
        <v>534</v>
      </c>
      <c r="B8" s="517"/>
      <c r="C8" s="531"/>
      <c r="D8" s="511"/>
      <c r="F8" s="523" t="s">
        <v>534</v>
      </c>
      <c r="G8" s="525"/>
      <c r="H8" s="531"/>
      <c r="I8" s="508"/>
      <c r="K8" s="505" t="s">
        <v>534</v>
      </c>
      <c r="L8" s="529" t="n">
        <v>0</v>
      </c>
      <c r="M8" s="530" t="n">
        <v>0</v>
      </c>
      <c r="N8" s="514" t="n">
        <f aca="false">L8-M8</f>
        <v>0</v>
      </c>
      <c r="P8" s="523" t="s">
        <v>534</v>
      </c>
      <c r="Q8" s="525"/>
      <c r="R8" s="526"/>
      <c r="S8" s="508"/>
      <c r="U8" s="523" t="s">
        <v>534</v>
      </c>
      <c r="V8" s="408"/>
      <c r="W8" s="526"/>
      <c r="X8" s="511"/>
      <c r="Z8" s="505" t="s">
        <v>534</v>
      </c>
      <c r="AA8" s="525"/>
      <c r="AB8" s="526"/>
      <c r="AC8" s="510"/>
      <c r="AD8" s="532"/>
      <c r="AE8" s="523" t="s">
        <v>534</v>
      </c>
      <c r="AF8" s="525"/>
      <c r="AG8" s="526"/>
      <c r="AH8" s="508"/>
      <c r="AJ8" s="523" t="s">
        <v>534</v>
      </c>
      <c r="AK8" s="525"/>
      <c r="AL8" s="526"/>
      <c r="AM8" s="508"/>
      <c r="AO8" s="505" t="s">
        <v>534</v>
      </c>
      <c r="AP8" s="529" t="n">
        <v>0</v>
      </c>
      <c r="AQ8" s="530" t="n">
        <v>0</v>
      </c>
      <c r="AR8" s="514" t="n">
        <f aca="false">AP8-AQ8</f>
        <v>0</v>
      </c>
      <c r="AT8" s="523" t="s">
        <v>534</v>
      </c>
      <c r="AU8" s="525"/>
      <c r="AV8" s="526"/>
      <c r="AW8" s="508"/>
      <c r="AY8" s="523" t="s">
        <v>534</v>
      </c>
      <c r="AZ8" s="525"/>
      <c r="BA8" s="526"/>
      <c r="BB8" s="508"/>
      <c r="BD8" s="505" t="s">
        <v>534</v>
      </c>
      <c r="BE8" s="525"/>
      <c r="BF8" s="526"/>
      <c r="BG8" s="510"/>
      <c r="BI8" s="505" t="s">
        <v>534</v>
      </c>
      <c r="BJ8" s="525"/>
      <c r="BK8" s="526"/>
      <c r="BL8" s="512"/>
      <c r="BM8" s="532"/>
      <c r="BN8" s="505" t="s">
        <v>534</v>
      </c>
      <c r="BO8" s="408" t="n">
        <v>0</v>
      </c>
      <c r="BP8" s="526"/>
      <c r="BQ8" s="512"/>
      <c r="BT8" s="516" t="s">
        <v>534</v>
      </c>
      <c r="BU8" s="520" t="n">
        <f aca="false">B8+G8+L8+Q8+V8+AA8+AF8+AK8+AP8+AU8+AZ8+BE8+BJ8</f>
        <v>0</v>
      </c>
      <c r="BV8" s="525" t="n">
        <f aca="false">BF8+BA8+AV8+AQ8+AL8+AG8+AB8+W8+R8+M8+H8+C8+BK8+BP8</f>
        <v>0</v>
      </c>
      <c r="BW8" s="521" t="n">
        <f aca="false">D8+I8+N8+S8+X8+AC8+AH8+AM8+AR8+AW8+BB8+BG8+BL8+BQ8</f>
        <v>0</v>
      </c>
      <c r="BX8" s="522" t="n">
        <f aca="false">BU8-BV8</f>
        <v>0</v>
      </c>
      <c r="BY8" s="148"/>
    </row>
    <row r="9" customFormat="false" ht="16" hidden="false" customHeight="false" outlineLevel="0" collapsed="false">
      <c r="A9" s="519" t="s">
        <v>535</v>
      </c>
      <c r="B9" s="472" t="n">
        <v>0</v>
      </c>
      <c r="C9" s="112" t="n">
        <v>0</v>
      </c>
      <c r="D9" s="527" t="n">
        <f aca="false">B9-C9</f>
        <v>0</v>
      </c>
      <c r="F9" s="523" t="s">
        <v>535</v>
      </c>
      <c r="G9" s="408" t="n">
        <v>0</v>
      </c>
      <c r="H9" s="112" t="n">
        <v>0</v>
      </c>
      <c r="I9" s="511" t="n">
        <f aca="false">G9-H9</f>
        <v>0</v>
      </c>
      <c r="K9" s="505" t="s">
        <v>535</v>
      </c>
      <c r="L9" s="529" t="n">
        <v>0</v>
      </c>
      <c r="M9" s="530" t="n">
        <v>0</v>
      </c>
      <c r="N9" s="514" t="n">
        <f aca="false">L9-M9</f>
        <v>0</v>
      </c>
      <c r="P9" s="523" t="s">
        <v>535</v>
      </c>
      <c r="Q9" s="408" t="n">
        <v>0</v>
      </c>
      <c r="R9" s="112" t="n">
        <v>0</v>
      </c>
      <c r="S9" s="508" t="n">
        <f aca="false">Q9-R9</f>
        <v>0</v>
      </c>
      <c r="U9" s="523" t="s">
        <v>535</v>
      </c>
      <c r="V9" s="408" t="n">
        <v>0</v>
      </c>
      <c r="W9" s="112" t="n">
        <v>0</v>
      </c>
      <c r="X9" s="511" t="n">
        <f aca="false">V9-W9</f>
        <v>0</v>
      </c>
      <c r="Z9" s="505" t="s">
        <v>535</v>
      </c>
      <c r="AA9" s="408" t="n">
        <v>0</v>
      </c>
      <c r="AB9" s="112" t="n">
        <v>0</v>
      </c>
      <c r="AC9" s="512" t="n">
        <f aca="false">AA9-AB9</f>
        <v>0</v>
      </c>
      <c r="AD9" s="515"/>
      <c r="AE9" s="523" t="s">
        <v>535</v>
      </c>
      <c r="AF9" s="408" t="n">
        <v>0</v>
      </c>
      <c r="AG9" s="112" t="n">
        <v>0</v>
      </c>
      <c r="AH9" s="508" t="n">
        <f aca="false">AF9-AG9</f>
        <v>0</v>
      </c>
      <c r="AJ9" s="523" t="s">
        <v>535</v>
      </c>
      <c r="AK9" s="408" t="n">
        <v>0</v>
      </c>
      <c r="AL9" s="112" t="n">
        <v>0</v>
      </c>
      <c r="AM9" s="511" t="n">
        <f aca="false">AK9-AL9</f>
        <v>0</v>
      </c>
      <c r="AO9" s="505" t="s">
        <v>535</v>
      </c>
      <c r="AP9" s="529" t="n">
        <v>0</v>
      </c>
      <c r="AQ9" s="530" t="n">
        <v>0</v>
      </c>
      <c r="AR9" s="514" t="n">
        <f aca="false">AP9-AQ9</f>
        <v>0</v>
      </c>
      <c r="AT9" s="523" t="s">
        <v>535</v>
      </c>
      <c r="AU9" s="408" t="n">
        <v>0</v>
      </c>
      <c r="AV9" s="112" t="n">
        <v>0</v>
      </c>
      <c r="AW9" s="508" t="n">
        <f aca="false">AU9-AV9</f>
        <v>0</v>
      </c>
      <c r="AY9" s="523" t="s">
        <v>535</v>
      </c>
      <c r="AZ9" s="408" t="n">
        <v>0</v>
      </c>
      <c r="BA9" s="112" t="n">
        <v>0</v>
      </c>
      <c r="BB9" s="511" t="n">
        <f aca="false">AZ9-BA9</f>
        <v>0</v>
      </c>
      <c r="BD9" s="505" t="s">
        <v>535</v>
      </c>
      <c r="BE9" s="408" t="n">
        <v>0</v>
      </c>
      <c r="BF9" s="112" t="n">
        <v>0</v>
      </c>
      <c r="BG9" s="512" t="n">
        <f aca="false">BE9-BF9</f>
        <v>0</v>
      </c>
      <c r="BI9" s="505" t="s">
        <v>535</v>
      </c>
      <c r="BJ9" s="408" t="n">
        <v>0</v>
      </c>
      <c r="BK9" s="112" t="n">
        <v>0</v>
      </c>
      <c r="BL9" s="512" t="n">
        <f aca="false">BJ9-BK9</f>
        <v>0</v>
      </c>
      <c r="BM9" s="515"/>
      <c r="BN9" s="505" t="s">
        <v>535</v>
      </c>
      <c r="BO9" s="408" t="n">
        <v>0</v>
      </c>
      <c r="BP9" s="112" t="n">
        <v>0</v>
      </c>
      <c r="BQ9" s="512" t="n">
        <f aca="false">BO9-BP9</f>
        <v>0</v>
      </c>
      <c r="BT9" s="516" t="s">
        <v>535</v>
      </c>
      <c r="BU9" s="520" t="n">
        <f aca="false">B9+G9+L9+Q9+V9+AA9+AF9+AK9+AP9+AU9+AZ9+BE9</f>
        <v>0</v>
      </c>
      <c r="BV9" s="525" t="n">
        <v>0</v>
      </c>
      <c r="BW9" s="533" t="n">
        <f aca="false">D9+I9+N9</f>
        <v>0</v>
      </c>
      <c r="BX9" s="534" t="n">
        <v>0</v>
      </c>
    </row>
    <row r="10" customFormat="false" ht="16" hidden="false" customHeight="false" outlineLevel="0" collapsed="false">
      <c r="A10" s="519" t="s">
        <v>536</v>
      </c>
      <c r="B10" s="472" t="n">
        <v>0</v>
      </c>
      <c r="C10" s="112" t="n">
        <v>0</v>
      </c>
      <c r="D10" s="527" t="n">
        <f aca="false">B10-C10</f>
        <v>0</v>
      </c>
      <c r="F10" s="523" t="s">
        <v>536</v>
      </c>
      <c r="G10" s="408" t="n">
        <v>0</v>
      </c>
      <c r="H10" s="112" t="n">
        <v>0</v>
      </c>
      <c r="I10" s="508" t="n">
        <f aca="false">G10-H10</f>
        <v>0</v>
      </c>
      <c r="K10" s="505" t="s">
        <v>536</v>
      </c>
      <c r="L10" s="529" t="n">
        <v>0</v>
      </c>
      <c r="M10" s="530" t="n">
        <v>0</v>
      </c>
      <c r="N10" s="514" t="n">
        <f aca="false">L10-M10</f>
        <v>0</v>
      </c>
      <c r="P10" s="523" t="s">
        <v>536</v>
      </c>
      <c r="Q10" s="408" t="n">
        <v>0</v>
      </c>
      <c r="R10" s="112" t="n">
        <v>0</v>
      </c>
      <c r="S10" s="508" t="n">
        <f aca="false">Q10-R10</f>
        <v>0</v>
      </c>
      <c r="U10" s="523" t="s">
        <v>536</v>
      </c>
      <c r="V10" s="408" t="n">
        <v>0</v>
      </c>
      <c r="W10" s="112" t="n">
        <v>0</v>
      </c>
      <c r="X10" s="508" t="n">
        <f aca="false">V10-W10</f>
        <v>0</v>
      </c>
      <c r="Z10" s="505" t="s">
        <v>536</v>
      </c>
      <c r="AA10" s="408" t="n">
        <v>0</v>
      </c>
      <c r="AB10" s="112" t="n">
        <v>0</v>
      </c>
      <c r="AC10" s="510" t="n">
        <f aca="false">AA10-AB10</f>
        <v>0</v>
      </c>
      <c r="AD10" s="532"/>
      <c r="AE10" s="523" t="s">
        <v>536</v>
      </c>
      <c r="AF10" s="408" t="n">
        <v>0</v>
      </c>
      <c r="AG10" s="112" t="n">
        <v>0</v>
      </c>
      <c r="AH10" s="508" t="n">
        <f aca="false">AF10-AG10</f>
        <v>0</v>
      </c>
      <c r="AJ10" s="523" t="s">
        <v>536</v>
      </c>
      <c r="AK10" s="408" t="n">
        <v>0</v>
      </c>
      <c r="AL10" s="112" t="n">
        <v>0</v>
      </c>
      <c r="AM10" s="508" t="n">
        <f aca="false">AK10-AL10</f>
        <v>0</v>
      </c>
      <c r="AO10" s="505" t="s">
        <v>536</v>
      </c>
      <c r="AP10" s="529" t="n">
        <v>0</v>
      </c>
      <c r="AQ10" s="530" t="n">
        <v>0</v>
      </c>
      <c r="AR10" s="514" t="n">
        <f aca="false">AP10-AQ10</f>
        <v>0</v>
      </c>
      <c r="AT10" s="523" t="s">
        <v>536</v>
      </c>
      <c r="AU10" s="408" t="n">
        <v>0</v>
      </c>
      <c r="AV10" s="112" t="n">
        <v>0</v>
      </c>
      <c r="AW10" s="508" t="n">
        <f aca="false">AU10-AV10</f>
        <v>0</v>
      </c>
      <c r="AY10" s="523" t="s">
        <v>536</v>
      </c>
      <c r="AZ10" s="408" t="n">
        <v>0</v>
      </c>
      <c r="BA10" s="112" t="n">
        <v>0</v>
      </c>
      <c r="BB10" s="508" t="n">
        <f aca="false">AZ10-BA10</f>
        <v>0</v>
      </c>
      <c r="BD10" s="505" t="s">
        <v>536</v>
      </c>
      <c r="BE10" s="408" t="n">
        <v>0</v>
      </c>
      <c r="BF10" s="112" t="n">
        <v>0</v>
      </c>
      <c r="BG10" s="510" t="n">
        <f aca="false">BE10-BF10</f>
        <v>0</v>
      </c>
      <c r="BI10" s="505" t="s">
        <v>536</v>
      </c>
      <c r="BJ10" s="408" t="n">
        <v>0</v>
      </c>
      <c r="BK10" s="112" t="n">
        <v>0</v>
      </c>
      <c r="BL10" s="510" t="n">
        <f aca="false">BJ10-BK10</f>
        <v>0</v>
      </c>
      <c r="BM10" s="532"/>
      <c r="BN10" s="505" t="s">
        <v>536</v>
      </c>
      <c r="BO10" s="408" t="n">
        <v>0</v>
      </c>
      <c r="BP10" s="112" t="n">
        <v>0</v>
      </c>
      <c r="BQ10" s="510" t="n">
        <f aca="false">BO10-BP10</f>
        <v>0</v>
      </c>
      <c r="BT10" s="516" t="s">
        <v>536</v>
      </c>
      <c r="BU10" s="520" t="n">
        <f aca="false">B10+G10+L10+Q10+V10+AA10+AF10+AK10+AP10+AU10+AZ10+BE10</f>
        <v>0</v>
      </c>
      <c r="BV10" s="525" t="n">
        <f aca="false">BF10+BA10+AV10+AQ10+AL10+AG10+AB10+W10+R10+M10+H10+C10</f>
        <v>0</v>
      </c>
      <c r="BW10" s="533" t="n">
        <f aca="false">D10+I10+N10</f>
        <v>0</v>
      </c>
      <c r="BX10" s="534" t="n">
        <v>0</v>
      </c>
    </row>
    <row r="11" customFormat="false" ht="16" hidden="false" customHeight="false" outlineLevel="0" collapsed="false">
      <c r="A11" s="519" t="s">
        <v>537</v>
      </c>
      <c r="B11" s="472" t="n">
        <v>0</v>
      </c>
      <c r="C11" s="112" t="n">
        <v>0</v>
      </c>
      <c r="D11" s="527" t="n">
        <f aca="false">B11-C11</f>
        <v>0</v>
      </c>
      <c r="F11" s="523" t="s">
        <v>537</v>
      </c>
      <c r="G11" s="408" t="n">
        <v>0</v>
      </c>
      <c r="H11" s="112" t="n">
        <v>0</v>
      </c>
      <c r="I11" s="511" t="n">
        <f aca="false">G11-H11</f>
        <v>0</v>
      </c>
      <c r="K11" s="505" t="s">
        <v>537</v>
      </c>
      <c r="L11" s="529" t="n">
        <v>0</v>
      </c>
      <c r="M11" s="530" t="n">
        <v>0</v>
      </c>
      <c r="N11" s="514" t="n">
        <f aca="false">L11-M11</f>
        <v>0</v>
      </c>
      <c r="P11" s="523" t="s">
        <v>537</v>
      </c>
      <c r="Q11" s="408" t="n">
        <v>0</v>
      </c>
      <c r="R11" s="112" t="n">
        <v>0</v>
      </c>
      <c r="S11" s="508" t="n">
        <f aca="false">Q11-R11</f>
        <v>0</v>
      </c>
      <c r="U11" s="523" t="s">
        <v>537</v>
      </c>
      <c r="V11" s="408" t="n">
        <v>0</v>
      </c>
      <c r="W11" s="112" t="n">
        <v>0</v>
      </c>
      <c r="X11" s="511" t="n">
        <f aca="false">V11-W11</f>
        <v>0</v>
      </c>
      <c r="Z11" s="505" t="s">
        <v>537</v>
      </c>
      <c r="AA11" s="408" t="n">
        <v>0</v>
      </c>
      <c r="AB11" s="112" t="n">
        <v>0</v>
      </c>
      <c r="AC11" s="512" t="n">
        <f aca="false">AA11-AB11</f>
        <v>0</v>
      </c>
      <c r="AD11" s="515"/>
      <c r="AE11" s="523" t="s">
        <v>537</v>
      </c>
      <c r="AF11" s="408" t="n">
        <v>0</v>
      </c>
      <c r="AG11" s="112" t="n">
        <v>0</v>
      </c>
      <c r="AH11" s="508" t="n">
        <f aca="false">AF11-AG11</f>
        <v>0</v>
      </c>
      <c r="AJ11" s="523" t="s">
        <v>537</v>
      </c>
      <c r="AK11" s="408" t="n">
        <v>0</v>
      </c>
      <c r="AL11" s="112" t="n">
        <v>0</v>
      </c>
      <c r="AM11" s="511" t="n">
        <f aca="false">AK11-AL11</f>
        <v>0</v>
      </c>
      <c r="AO11" s="505" t="s">
        <v>537</v>
      </c>
      <c r="AP11" s="529" t="n">
        <v>0</v>
      </c>
      <c r="AQ11" s="530" t="n">
        <v>0</v>
      </c>
      <c r="AR11" s="514" t="n">
        <f aca="false">AP11-AQ11</f>
        <v>0</v>
      </c>
      <c r="AT11" s="523" t="s">
        <v>537</v>
      </c>
      <c r="AU11" s="408" t="n">
        <v>0</v>
      </c>
      <c r="AV11" s="112" t="n">
        <v>0</v>
      </c>
      <c r="AW11" s="508" t="n">
        <f aca="false">AU11-AV11</f>
        <v>0</v>
      </c>
      <c r="AY11" s="523" t="s">
        <v>537</v>
      </c>
      <c r="AZ11" s="408" t="n">
        <v>0</v>
      </c>
      <c r="BA11" s="112" t="n">
        <v>0</v>
      </c>
      <c r="BB11" s="511" t="n">
        <f aca="false">AZ11-BA11</f>
        <v>0</v>
      </c>
      <c r="BD11" s="505" t="s">
        <v>537</v>
      </c>
      <c r="BE11" s="408" t="n">
        <v>0</v>
      </c>
      <c r="BF11" s="112" t="n">
        <v>0</v>
      </c>
      <c r="BG11" s="512" t="n">
        <f aca="false">BE11-BF11</f>
        <v>0</v>
      </c>
      <c r="BI11" s="505" t="s">
        <v>537</v>
      </c>
      <c r="BJ11" s="408" t="n">
        <v>0</v>
      </c>
      <c r="BK11" s="112" t="n">
        <v>0</v>
      </c>
      <c r="BL11" s="512" t="n">
        <f aca="false">BJ11-BK11</f>
        <v>0</v>
      </c>
      <c r="BM11" s="515"/>
      <c r="BN11" s="505" t="s">
        <v>537</v>
      </c>
      <c r="BO11" s="408" t="n">
        <v>0</v>
      </c>
      <c r="BP11" s="112" t="n">
        <v>0</v>
      </c>
      <c r="BQ11" s="512" t="n">
        <f aca="false">BO11-BP11</f>
        <v>0</v>
      </c>
      <c r="BT11" s="516" t="s">
        <v>537</v>
      </c>
      <c r="BU11" s="520" t="n">
        <f aca="false">B11+G11+L11+Q11+V11+AA11+AF11+AK11+AP11+AU11+AZ11+BE11</f>
        <v>0</v>
      </c>
      <c r="BV11" s="525" t="n">
        <f aca="false">BF11+BA11+AV11+AQ11+AL11+AG11+AB11+W11+R11+M11+H11+C11</f>
        <v>0</v>
      </c>
      <c r="BW11" s="533" t="n">
        <f aca="false">D11+I11+N11</f>
        <v>0</v>
      </c>
      <c r="BX11" s="534" t="n">
        <v>0</v>
      </c>
    </row>
    <row r="12" customFormat="false" ht="16" hidden="false" customHeight="false" outlineLevel="0" collapsed="false">
      <c r="A12" s="519" t="s">
        <v>538</v>
      </c>
      <c r="B12" s="472" t="n">
        <v>0</v>
      </c>
      <c r="C12" s="112" t="n">
        <v>0</v>
      </c>
      <c r="D12" s="527" t="n">
        <f aca="false">B12-C12</f>
        <v>0</v>
      </c>
      <c r="F12" s="523" t="s">
        <v>538</v>
      </c>
      <c r="G12" s="408" t="n">
        <v>0</v>
      </c>
      <c r="H12" s="112" t="n">
        <v>0</v>
      </c>
      <c r="I12" s="511" t="n">
        <f aca="false">G12-H12</f>
        <v>0</v>
      </c>
      <c r="K12" s="505" t="s">
        <v>538</v>
      </c>
      <c r="L12" s="529" t="n">
        <v>0</v>
      </c>
      <c r="M12" s="530" t="n">
        <v>0</v>
      </c>
      <c r="N12" s="514" t="n">
        <f aca="false">L12-M12</f>
        <v>0</v>
      </c>
      <c r="P12" s="523" t="s">
        <v>538</v>
      </c>
      <c r="Q12" s="408" t="n">
        <v>0</v>
      </c>
      <c r="R12" s="112" t="n">
        <v>0</v>
      </c>
      <c r="S12" s="508" t="n">
        <f aca="false">Q12-R12</f>
        <v>0</v>
      </c>
      <c r="U12" s="523" t="s">
        <v>538</v>
      </c>
      <c r="V12" s="408" t="n">
        <v>0</v>
      </c>
      <c r="W12" s="112" t="n">
        <v>0</v>
      </c>
      <c r="X12" s="511" t="n">
        <f aca="false">V12-W12</f>
        <v>0</v>
      </c>
      <c r="Z12" s="505" t="s">
        <v>538</v>
      </c>
      <c r="AA12" s="408" t="n">
        <v>0</v>
      </c>
      <c r="AB12" s="112" t="n">
        <v>0</v>
      </c>
      <c r="AC12" s="510" t="n">
        <f aca="false">AA12-AB12</f>
        <v>0</v>
      </c>
      <c r="AD12" s="532"/>
      <c r="AE12" s="523" t="s">
        <v>538</v>
      </c>
      <c r="AF12" s="408" t="n">
        <v>0</v>
      </c>
      <c r="AG12" s="112" t="n">
        <v>0</v>
      </c>
      <c r="AH12" s="508" t="n">
        <f aca="false">AF12-AG12</f>
        <v>0</v>
      </c>
      <c r="AJ12" s="523" t="s">
        <v>538</v>
      </c>
      <c r="AK12" s="408" t="n">
        <v>0</v>
      </c>
      <c r="AL12" s="112" t="n">
        <v>0</v>
      </c>
      <c r="AM12" s="511" t="n">
        <f aca="false">AK12-AL12</f>
        <v>0</v>
      </c>
      <c r="AO12" s="505" t="s">
        <v>538</v>
      </c>
      <c r="AP12" s="529" t="n">
        <v>0</v>
      </c>
      <c r="AQ12" s="530" t="n">
        <v>0</v>
      </c>
      <c r="AR12" s="514" t="n">
        <f aca="false">AP12-AQ12</f>
        <v>0</v>
      </c>
      <c r="AT12" s="523" t="s">
        <v>538</v>
      </c>
      <c r="AU12" s="408" t="n">
        <v>0</v>
      </c>
      <c r="AV12" s="112" t="n">
        <v>0</v>
      </c>
      <c r="AW12" s="508" t="n">
        <f aca="false">AU12-AV12</f>
        <v>0</v>
      </c>
      <c r="AY12" s="523" t="s">
        <v>538</v>
      </c>
      <c r="AZ12" s="408" t="n">
        <v>0</v>
      </c>
      <c r="BA12" s="112" t="n">
        <v>0</v>
      </c>
      <c r="BB12" s="511" t="n">
        <f aca="false">AZ12-BA12</f>
        <v>0</v>
      </c>
      <c r="BD12" s="505" t="s">
        <v>538</v>
      </c>
      <c r="BE12" s="408" t="n">
        <v>0</v>
      </c>
      <c r="BF12" s="112" t="n">
        <v>0</v>
      </c>
      <c r="BG12" s="510" t="n">
        <f aca="false">BE12-BF12</f>
        <v>0</v>
      </c>
      <c r="BI12" s="505" t="s">
        <v>538</v>
      </c>
      <c r="BJ12" s="408" t="n">
        <v>0</v>
      </c>
      <c r="BK12" s="112" t="n">
        <v>0</v>
      </c>
      <c r="BL12" s="510" t="n">
        <f aca="false">BJ12-BK12</f>
        <v>0</v>
      </c>
      <c r="BM12" s="532"/>
      <c r="BN12" s="505" t="s">
        <v>538</v>
      </c>
      <c r="BO12" s="408" t="n">
        <v>0</v>
      </c>
      <c r="BP12" s="112" t="n">
        <v>0</v>
      </c>
      <c r="BQ12" s="510" t="n">
        <f aca="false">BO12-BP12</f>
        <v>0</v>
      </c>
      <c r="BT12" s="516" t="s">
        <v>538</v>
      </c>
      <c r="BU12" s="520" t="n">
        <f aca="false">B12+G12+L12+Q12+V12+AA12+AF12+AK12+AP12+AU12+AZ12+BE12</f>
        <v>0</v>
      </c>
      <c r="BV12" s="525" t="n">
        <f aca="false">BF12+BA12+AV12+AQ12+AL12+AG12+AB12+W12+R12+M12+H12+C12</f>
        <v>0</v>
      </c>
      <c r="BW12" s="533" t="n">
        <f aca="false">D12+I12+N12</f>
        <v>0</v>
      </c>
      <c r="BX12" s="534" t="n">
        <v>0</v>
      </c>
    </row>
    <row r="13" customFormat="false" ht="16" hidden="false" customHeight="false" outlineLevel="0" collapsed="false">
      <c r="A13" s="519" t="s">
        <v>539</v>
      </c>
      <c r="B13" s="472" t="n">
        <v>0</v>
      </c>
      <c r="C13" s="112" t="n">
        <v>0</v>
      </c>
      <c r="D13" s="527" t="n">
        <f aca="false">B13-C13</f>
        <v>0</v>
      </c>
      <c r="F13" s="523" t="s">
        <v>539</v>
      </c>
      <c r="G13" s="408" t="n">
        <v>0</v>
      </c>
      <c r="H13" s="112" t="n">
        <v>0</v>
      </c>
      <c r="I13" s="511" t="n">
        <f aca="false">G13-H13</f>
        <v>0</v>
      </c>
      <c r="K13" s="505" t="s">
        <v>539</v>
      </c>
      <c r="L13" s="529" t="n">
        <v>0</v>
      </c>
      <c r="M13" s="530" t="n">
        <v>0</v>
      </c>
      <c r="N13" s="514" t="n">
        <f aca="false">L13-M13</f>
        <v>0</v>
      </c>
      <c r="P13" s="523" t="s">
        <v>539</v>
      </c>
      <c r="Q13" s="408" t="n">
        <v>0</v>
      </c>
      <c r="R13" s="112" t="n">
        <v>0</v>
      </c>
      <c r="S13" s="508" t="n">
        <f aca="false">Q13-R13</f>
        <v>0</v>
      </c>
      <c r="U13" s="523" t="s">
        <v>539</v>
      </c>
      <c r="V13" s="408" t="n">
        <v>0</v>
      </c>
      <c r="W13" s="112" t="n">
        <v>0</v>
      </c>
      <c r="X13" s="511" t="n">
        <f aca="false">V13-W13</f>
        <v>0</v>
      </c>
      <c r="Z13" s="505" t="s">
        <v>539</v>
      </c>
      <c r="AA13" s="408" t="n">
        <v>0</v>
      </c>
      <c r="AB13" s="112" t="n">
        <v>0</v>
      </c>
      <c r="AC13" s="510" t="n">
        <f aca="false">AA13-AB13</f>
        <v>0</v>
      </c>
      <c r="AD13" s="532"/>
      <c r="AE13" s="523" t="s">
        <v>539</v>
      </c>
      <c r="AF13" s="408" t="n">
        <v>0</v>
      </c>
      <c r="AG13" s="112" t="n">
        <v>0</v>
      </c>
      <c r="AH13" s="508" t="n">
        <f aca="false">AF13-AG13</f>
        <v>0</v>
      </c>
      <c r="AJ13" s="523" t="s">
        <v>539</v>
      </c>
      <c r="AK13" s="408" t="n">
        <v>0</v>
      </c>
      <c r="AL13" s="112" t="n">
        <v>0</v>
      </c>
      <c r="AM13" s="511" t="n">
        <f aca="false">AK13-AL13</f>
        <v>0</v>
      </c>
      <c r="AO13" s="505" t="s">
        <v>539</v>
      </c>
      <c r="AP13" s="529" t="n">
        <v>0</v>
      </c>
      <c r="AQ13" s="530" t="n">
        <v>0</v>
      </c>
      <c r="AR13" s="514" t="n">
        <f aca="false">AP13-AQ13</f>
        <v>0</v>
      </c>
      <c r="AT13" s="523" t="s">
        <v>539</v>
      </c>
      <c r="AU13" s="408" t="n">
        <v>0</v>
      </c>
      <c r="AV13" s="112" t="n">
        <v>0</v>
      </c>
      <c r="AW13" s="508" t="n">
        <f aca="false">AU13-AV13</f>
        <v>0</v>
      </c>
      <c r="AY13" s="523" t="s">
        <v>539</v>
      </c>
      <c r="AZ13" s="408" t="n">
        <v>0</v>
      </c>
      <c r="BA13" s="112" t="n">
        <v>0</v>
      </c>
      <c r="BB13" s="511" t="n">
        <f aca="false">AZ13-BA13</f>
        <v>0</v>
      </c>
      <c r="BD13" s="505" t="s">
        <v>539</v>
      </c>
      <c r="BE13" s="408" t="n">
        <v>0</v>
      </c>
      <c r="BF13" s="112" t="n">
        <v>0</v>
      </c>
      <c r="BG13" s="510" t="n">
        <f aca="false">BE13-BF13</f>
        <v>0</v>
      </c>
      <c r="BI13" s="505" t="s">
        <v>539</v>
      </c>
      <c r="BJ13" s="408" t="n">
        <v>0</v>
      </c>
      <c r="BK13" s="112" t="n">
        <v>0</v>
      </c>
      <c r="BL13" s="510" t="n">
        <f aca="false">BJ13-BK13</f>
        <v>0</v>
      </c>
      <c r="BM13" s="532"/>
      <c r="BN13" s="505" t="s">
        <v>539</v>
      </c>
      <c r="BO13" s="408" t="n">
        <v>0</v>
      </c>
      <c r="BP13" s="112" t="n">
        <v>0</v>
      </c>
      <c r="BQ13" s="510" t="n">
        <f aca="false">BO13-BP13</f>
        <v>0</v>
      </c>
      <c r="BT13" s="516" t="s">
        <v>539</v>
      </c>
      <c r="BU13" s="520" t="n">
        <f aca="false">B13+G13+L13+Q13+V13+AA13+AF13+AK13+AP13+AU13+AZ13+BE13</f>
        <v>0</v>
      </c>
      <c r="BV13" s="525" t="n">
        <f aca="false">BF13+BA13+AV13+AQ13+AL13+AG13+AB13+W13+R13+M13+H13+C13</f>
        <v>0</v>
      </c>
      <c r="BW13" s="533" t="n">
        <f aca="false">D13+I13+N13</f>
        <v>0</v>
      </c>
      <c r="BX13" s="534" t="n">
        <v>0</v>
      </c>
    </row>
    <row r="14" customFormat="false" ht="17" hidden="false" customHeight="false" outlineLevel="0" collapsed="false">
      <c r="A14" s="535" t="s">
        <v>540</v>
      </c>
      <c r="B14" s="473" t="n">
        <v>0</v>
      </c>
      <c r="C14" s="138" t="n">
        <v>0</v>
      </c>
      <c r="D14" s="536" t="n">
        <f aca="false">B14-C14</f>
        <v>0</v>
      </c>
      <c r="F14" s="537" t="s">
        <v>540</v>
      </c>
      <c r="G14" s="408" t="n">
        <v>0</v>
      </c>
      <c r="H14" s="112" t="n">
        <v>0</v>
      </c>
      <c r="I14" s="508" t="n">
        <f aca="false">G14-H14</f>
        <v>0</v>
      </c>
      <c r="K14" s="128" t="s">
        <v>540</v>
      </c>
      <c r="L14" s="529" t="n">
        <v>0</v>
      </c>
      <c r="M14" s="530" t="n">
        <v>0</v>
      </c>
      <c r="N14" s="514" t="n">
        <f aca="false">L14-M14</f>
        <v>0</v>
      </c>
      <c r="P14" s="537" t="s">
        <v>540</v>
      </c>
      <c r="Q14" s="408" t="n">
        <v>0</v>
      </c>
      <c r="R14" s="112" t="n">
        <v>0</v>
      </c>
      <c r="S14" s="508" t="n">
        <f aca="false">Q14-R14</f>
        <v>0</v>
      </c>
      <c r="U14" s="537" t="s">
        <v>540</v>
      </c>
      <c r="V14" s="408" t="n">
        <v>0</v>
      </c>
      <c r="W14" s="112" t="n">
        <v>0</v>
      </c>
      <c r="X14" s="508" t="n">
        <f aca="false">V14-W14</f>
        <v>0</v>
      </c>
      <c r="Z14" s="128" t="s">
        <v>540</v>
      </c>
      <c r="AA14" s="408" t="n">
        <v>0</v>
      </c>
      <c r="AB14" s="112" t="n">
        <v>0</v>
      </c>
      <c r="AC14" s="510" t="n">
        <f aca="false">AA14-AB14</f>
        <v>0</v>
      </c>
      <c r="AD14" s="532"/>
      <c r="AE14" s="537" t="s">
        <v>540</v>
      </c>
      <c r="AF14" s="408" t="n">
        <v>0</v>
      </c>
      <c r="AG14" s="112" t="n">
        <v>0</v>
      </c>
      <c r="AH14" s="508" t="n">
        <f aca="false">AF14-AG14</f>
        <v>0</v>
      </c>
      <c r="AJ14" s="537" t="s">
        <v>540</v>
      </c>
      <c r="AK14" s="408" t="n">
        <v>0</v>
      </c>
      <c r="AL14" s="112" t="n">
        <v>0</v>
      </c>
      <c r="AM14" s="508" t="n">
        <f aca="false">AK14-AL14</f>
        <v>0</v>
      </c>
      <c r="AO14" s="128" t="s">
        <v>540</v>
      </c>
      <c r="AP14" s="529" t="n">
        <v>0</v>
      </c>
      <c r="AQ14" s="530" t="n">
        <v>0</v>
      </c>
      <c r="AR14" s="514" t="n">
        <f aca="false">AP14-AQ14</f>
        <v>0</v>
      </c>
      <c r="AT14" s="537" t="s">
        <v>540</v>
      </c>
      <c r="AU14" s="408" t="n">
        <v>0</v>
      </c>
      <c r="AV14" s="112" t="n">
        <v>0</v>
      </c>
      <c r="AW14" s="508" t="n">
        <f aca="false">AU14-AV14</f>
        <v>0</v>
      </c>
      <c r="AY14" s="537" t="s">
        <v>540</v>
      </c>
      <c r="AZ14" s="408" t="n">
        <v>0</v>
      </c>
      <c r="BA14" s="112" t="n">
        <v>0</v>
      </c>
      <c r="BB14" s="508" t="n">
        <f aca="false">AZ14-BA14</f>
        <v>0</v>
      </c>
      <c r="BD14" s="128" t="s">
        <v>540</v>
      </c>
      <c r="BE14" s="408" t="n">
        <v>0</v>
      </c>
      <c r="BF14" s="112" t="n">
        <v>0</v>
      </c>
      <c r="BG14" s="510" t="n">
        <f aca="false">BE14-BF14</f>
        <v>0</v>
      </c>
      <c r="BI14" s="128" t="s">
        <v>540</v>
      </c>
      <c r="BJ14" s="408" t="n">
        <v>0</v>
      </c>
      <c r="BK14" s="112" t="n">
        <v>0</v>
      </c>
      <c r="BL14" s="510" t="n">
        <f aca="false">BJ14-BK14</f>
        <v>0</v>
      </c>
      <c r="BM14" s="532"/>
      <c r="BN14" s="128" t="s">
        <v>540</v>
      </c>
      <c r="BO14" s="408" t="n">
        <v>0</v>
      </c>
      <c r="BP14" s="112" t="n">
        <v>0</v>
      </c>
      <c r="BQ14" s="510" t="n">
        <f aca="false">BO14-BP14</f>
        <v>0</v>
      </c>
      <c r="BT14" s="126" t="s">
        <v>540</v>
      </c>
      <c r="BU14" s="538" t="n">
        <f aca="false">B14+G14+L14+Q14+V14+AA14+AF14+AK14+AP14+AU14+AZ14+BE14</f>
        <v>0</v>
      </c>
      <c r="BV14" s="539" t="n">
        <f aca="false">BF14+BA14+AV14+AQ14+AL14+AG14+AB14+W14+R14+M14+H14+C14</f>
        <v>0</v>
      </c>
      <c r="BW14" s="540" t="n">
        <f aca="false">D14+I14+N14</f>
        <v>0</v>
      </c>
      <c r="BX14" s="541" t="n">
        <v>0</v>
      </c>
    </row>
    <row r="15" customFormat="false" ht="20" hidden="false" customHeight="false" outlineLevel="0" collapsed="false">
      <c r="A15" s="30" t="s">
        <v>80</v>
      </c>
      <c r="B15" s="30"/>
      <c r="C15" s="30"/>
      <c r="D15" s="542" t="n">
        <f aca="false">SUM(D3:D14)</f>
        <v>0</v>
      </c>
      <c r="F15" s="492" t="s">
        <v>80</v>
      </c>
      <c r="G15" s="492"/>
      <c r="H15" s="492"/>
      <c r="I15" s="543" t="n">
        <f aca="false">SUM(I3:I14)</f>
        <v>0</v>
      </c>
      <c r="K15" s="492" t="s">
        <v>80</v>
      </c>
      <c r="L15" s="492"/>
      <c r="M15" s="492"/>
      <c r="N15" s="543" t="n">
        <f aca="false">SUM(N3:N14)</f>
        <v>0</v>
      </c>
      <c r="P15" s="492" t="s">
        <v>80</v>
      </c>
      <c r="Q15" s="492"/>
      <c r="R15" s="492"/>
      <c r="S15" s="543" t="n">
        <f aca="false">SUM(S3:S14)</f>
        <v>0</v>
      </c>
      <c r="U15" s="492" t="s">
        <v>80</v>
      </c>
      <c r="V15" s="492"/>
      <c r="W15" s="492"/>
      <c r="X15" s="544" t="n">
        <f aca="false">SUM(X3:X14)</f>
        <v>0</v>
      </c>
      <c r="Z15" s="492" t="s">
        <v>80</v>
      </c>
      <c r="AA15" s="492"/>
      <c r="AB15" s="492"/>
      <c r="AC15" s="544" t="n">
        <f aca="false">SUM(AC3:AC14)</f>
        <v>0</v>
      </c>
      <c r="AD15" s="277"/>
      <c r="AE15" s="492" t="s">
        <v>80</v>
      </c>
      <c r="AF15" s="492"/>
      <c r="AG15" s="492"/>
      <c r="AH15" s="543" t="n">
        <f aca="false">SUM(AH3:AH14)</f>
        <v>0</v>
      </c>
      <c r="AJ15" s="492" t="s">
        <v>80</v>
      </c>
      <c r="AK15" s="492"/>
      <c r="AL15" s="492"/>
      <c r="AM15" s="543" t="n">
        <f aca="false">SUM(AM3:AM14)</f>
        <v>0</v>
      </c>
      <c r="AO15" s="492" t="s">
        <v>80</v>
      </c>
      <c r="AP15" s="492"/>
      <c r="AQ15" s="492"/>
      <c r="AR15" s="543" t="n">
        <f aca="false">SUM(AR3:AR14)</f>
        <v>0</v>
      </c>
      <c r="AT15" s="492" t="s">
        <v>80</v>
      </c>
      <c r="AU15" s="492"/>
      <c r="AV15" s="492"/>
      <c r="AW15" s="543" t="n">
        <f aca="false">SUM(AW3:AW14)</f>
        <v>0</v>
      </c>
      <c r="AY15" s="492" t="s">
        <v>80</v>
      </c>
      <c r="AZ15" s="492"/>
      <c r="BA15" s="492"/>
      <c r="BB15" s="543" t="n">
        <f aca="false">SUM(BB3:BB14)</f>
        <v>0</v>
      </c>
      <c r="BD15" s="492" t="s">
        <v>80</v>
      </c>
      <c r="BE15" s="492"/>
      <c r="BF15" s="492"/>
      <c r="BG15" s="544" t="n">
        <f aca="false">SUM(BG3:BG14)</f>
        <v>0</v>
      </c>
      <c r="BI15" s="492" t="s">
        <v>80</v>
      </c>
      <c r="BJ15" s="492"/>
      <c r="BK15" s="492"/>
      <c r="BL15" s="544" t="n">
        <f aca="false">SUM(BL3:BL14)</f>
        <v>0</v>
      </c>
      <c r="BM15" s="287"/>
      <c r="BN15" s="492" t="s">
        <v>80</v>
      </c>
      <c r="BO15" s="492"/>
      <c r="BP15" s="492"/>
      <c r="BQ15" s="544" t="n">
        <f aca="false">SUM(BQ3:BQ14)</f>
        <v>0</v>
      </c>
      <c r="BT15" s="545" t="s">
        <v>80</v>
      </c>
      <c r="BU15" s="546"/>
      <c r="BV15" s="547"/>
      <c r="BW15" s="548" t="n">
        <f aca="false">SUM(BW3:BW14)</f>
        <v>0</v>
      </c>
      <c r="BX15" s="548" t="n">
        <f aca="false">SUM(BX3:BX14)</f>
        <v>0</v>
      </c>
    </row>
  </sheetData>
  <mergeCells count="29">
    <mergeCell ref="A1:D1"/>
    <mergeCell ref="F1:I1"/>
    <mergeCell ref="K1:N1"/>
    <mergeCell ref="P1:S1"/>
    <mergeCell ref="U1:X1"/>
    <mergeCell ref="Z1:AC1"/>
    <mergeCell ref="AE1:AH1"/>
    <mergeCell ref="AJ1:AM1"/>
    <mergeCell ref="AO1:AR1"/>
    <mergeCell ref="AT1:AW1"/>
    <mergeCell ref="AY1:BB1"/>
    <mergeCell ref="BD1:BG1"/>
    <mergeCell ref="BI1:BL1"/>
    <mergeCell ref="BN1:BQ1"/>
    <mergeCell ref="BT1:BX1"/>
    <mergeCell ref="A15:C15"/>
    <mergeCell ref="F15:H15"/>
    <mergeCell ref="K15:M15"/>
    <mergeCell ref="P15:R15"/>
    <mergeCell ref="U15:W15"/>
    <mergeCell ref="Z15:AB15"/>
    <mergeCell ref="AE15:AG15"/>
    <mergeCell ref="AJ15:AL15"/>
    <mergeCell ref="AO15:AQ15"/>
    <mergeCell ref="AT15:AV15"/>
    <mergeCell ref="AY15:BA15"/>
    <mergeCell ref="BD15:BF15"/>
    <mergeCell ref="BI15:BK15"/>
    <mergeCell ref="BN15:BP1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4" scale="6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colBreaks count="4" manualBreakCount="4">
    <brk id="15" man="true" max="65535" min="0"/>
    <brk id="30" man="true" max="65535" min="0"/>
    <brk id="44" man="true" max="65535" min="0"/>
    <brk id="60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C5:I96"/>
  <sheetViews>
    <sheetView showFormulas="false" showGridLines="true" showRowColHeaders="true" showZeros="true" rightToLeft="false" tabSelected="false" showOutlineSymbols="true" defaultGridColor="true" view="normal" topLeftCell="A17" colorId="64" zoomScale="55" zoomScaleNormal="55" zoomScalePageLayoutView="100" workbookViewId="0">
      <selection pane="topLeft" activeCell="C5" activeCellId="0" sqref="C5"/>
    </sheetView>
  </sheetViews>
  <sheetFormatPr defaultColWidth="9.625" defaultRowHeight="12.8" zeroHeight="false" outlineLevelRow="0" outlineLevelCol="0"/>
  <sheetData>
    <row r="5" customFormat="false" ht="15" hidden="false" customHeight="true" outlineLevel="0" collapsed="false">
      <c r="C5" s="14" t="s">
        <v>12</v>
      </c>
      <c r="D5" s="14"/>
      <c r="E5" s="14"/>
      <c r="F5" s="14"/>
      <c r="G5" s="14"/>
      <c r="H5" s="14"/>
      <c r="I5" s="14"/>
    </row>
    <row r="6" customFormat="false" ht="15" hidden="false" customHeight="false" outlineLevel="0" collapsed="false">
      <c r="C6" s="20" t="s">
        <v>24</v>
      </c>
      <c r="D6" s="21" t="s">
        <v>25</v>
      </c>
      <c r="E6" s="22" t="s">
        <v>26</v>
      </c>
      <c r="F6" s="23" t="s">
        <v>27</v>
      </c>
      <c r="G6" s="24" t="s">
        <v>28</v>
      </c>
      <c r="H6" s="20" t="s">
        <v>29</v>
      </c>
      <c r="I6" s="20" t="s">
        <v>30</v>
      </c>
    </row>
    <row r="7" customFormat="false" ht="15" hidden="false" customHeight="false" outlineLevel="0" collapsed="false">
      <c r="C7" s="20" t="s">
        <v>41</v>
      </c>
      <c r="D7" s="20"/>
      <c r="E7" s="20"/>
      <c r="F7" s="20"/>
      <c r="G7" s="20"/>
      <c r="H7" s="20"/>
      <c r="I7" s="20"/>
    </row>
    <row r="8" customFormat="false" ht="15" hidden="false" customHeight="false" outlineLevel="0" collapsed="false">
      <c r="C8" s="43" t="n">
        <v>44013</v>
      </c>
      <c r="D8" s="44" t="n">
        <v>71400</v>
      </c>
      <c r="E8" s="45" t="s">
        <v>47</v>
      </c>
      <c r="F8" s="45" t="s">
        <v>48</v>
      </c>
      <c r="G8" s="45" t="s">
        <v>49</v>
      </c>
      <c r="H8" s="46" t="n">
        <v>3</v>
      </c>
      <c r="I8" s="47"/>
    </row>
    <row r="9" customFormat="false" ht="15" hidden="false" customHeight="false" outlineLevel="0" collapsed="false">
      <c r="C9" s="51" t="n">
        <v>44023</v>
      </c>
      <c r="D9" s="52" t="n">
        <v>189210</v>
      </c>
      <c r="E9" s="53" t="s">
        <v>58</v>
      </c>
      <c r="F9" s="53" t="s">
        <v>59</v>
      </c>
      <c r="G9" s="53" t="s">
        <v>60</v>
      </c>
      <c r="H9" s="54" t="n">
        <v>3</v>
      </c>
      <c r="I9" s="55"/>
    </row>
    <row r="10" customFormat="false" ht="15" hidden="false" customHeight="false" outlineLevel="0" collapsed="false">
      <c r="C10" s="51" t="n">
        <v>44026</v>
      </c>
      <c r="D10" s="105" t="n">
        <v>71400</v>
      </c>
      <c r="E10" s="53" t="s">
        <v>47</v>
      </c>
      <c r="F10" s="53" t="s">
        <v>73</v>
      </c>
      <c r="G10" s="53" t="s">
        <v>49</v>
      </c>
      <c r="H10" s="54" t="n">
        <v>3</v>
      </c>
      <c r="I10" s="55"/>
    </row>
    <row r="11" customFormat="false" ht="15" hidden="false" customHeight="false" outlineLevel="0" collapsed="false">
      <c r="C11" s="51" t="n">
        <v>44029</v>
      </c>
      <c r="D11" s="52" t="n">
        <v>71400</v>
      </c>
      <c r="E11" s="53" t="s">
        <v>85</v>
      </c>
      <c r="F11" s="53" t="s">
        <v>86</v>
      </c>
      <c r="G11" s="53" t="s">
        <v>87</v>
      </c>
      <c r="H11" s="54" t="n">
        <v>3</v>
      </c>
      <c r="I11" s="55"/>
    </row>
    <row r="12" customFormat="false" ht="15" hidden="false" customHeight="false" outlineLevel="0" collapsed="false">
      <c r="C12" s="51" t="n">
        <v>44029</v>
      </c>
      <c r="D12" s="52" t="n">
        <v>71400</v>
      </c>
      <c r="E12" s="53" t="s">
        <v>96</v>
      </c>
      <c r="F12" s="53" t="s">
        <v>97</v>
      </c>
      <c r="G12" s="53" t="s">
        <v>87</v>
      </c>
      <c r="H12" s="54" t="n">
        <v>3</v>
      </c>
      <c r="I12" s="55"/>
    </row>
    <row r="13" customFormat="false" ht="15" hidden="false" customHeight="false" outlineLevel="0" collapsed="false">
      <c r="C13" s="164" t="n">
        <v>44030</v>
      </c>
      <c r="D13" s="165" t="n">
        <v>47600</v>
      </c>
      <c r="E13" s="166" t="s">
        <v>108</v>
      </c>
      <c r="F13" s="166" t="s">
        <v>109</v>
      </c>
      <c r="G13" s="166" t="s">
        <v>87</v>
      </c>
      <c r="H13" s="167" t="n">
        <v>2</v>
      </c>
      <c r="I13" s="168"/>
    </row>
    <row r="14" customFormat="false" ht="15" hidden="false" customHeight="false" outlineLevel="0" collapsed="false">
      <c r="C14" s="30" t="s">
        <v>77</v>
      </c>
      <c r="D14" s="181" t="n">
        <f aca="false">SUM(D8:D13)</f>
        <v>522410</v>
      </c>
      <c r="E14" s="3"/>
      <c r="F14" s="4"/>
      <c r="G14" s="5"/>
      <c r="H14" s="1"/>
      <c r="I14" s="182"/>
    </row>
    <row r="15" customFormat="false" ht="15" hidden="false" customHeight="false" outlineLevel="0" collapsed="false">
      <c r="C15" s="49" t="s">
        <v>132</v>
      </c>
      <c r="D15" s="49"/>
      <c r="E15" s="49"/>
      <c r="F15" s="49"/>
      <c r="G15" s="49"/>
      <c r="H15" s="49"/>
      <c r="I15" s="49"/>
    </row>
    <row r="16" customFormat="false" ht="15" hidden="false" customHeight="false" outlineLevel="0" collapsed="false">
      <c r="C16" s="43" t="n">
        <v>43994</v>
      </c>
      <c r="D16" s="204" t="n">
        <v>80000</v>
      </c>
      <c r="E16" s="45" t="s">
        <v>140</v>
      </c>
      <c r="F16" s="45" t="s">
        <v>86</v>
      </c>
      <c r="G16" s="45" t="s">
        <v>87</v>
      </c>
      <c r="H16" s="205" t="n">
        <v>20</v>
      </c>
      <c r="I16" s="206" t="s">
        <v>141</v>
      </c>
    </row>
    <row r="17" customFormat="false" ht="15" hidden="false" customHeight="false" outlineLevel="0" collapsed="false">
      <c r="C17" s="51" t="n">
        <v>44014</v>
      </c>
      <c r="D17" s="214" t="n">
        <v>4000</v>
      </c>
      <c r="E17" s="53" t="s">
        <v>147</v>
      </c>
      <c r="F17" s="53" t="s">
        <v>148</v>
      </c>
      <c r="G17" s="53" t="s">
        <v>87</v>
      </c>
      <c r="H17" s="215" t="n">
        <v>1</v>
      </c>
      <c r="I17" s="216" t="s">
        <v>122</v>
      </c>
    </row>
    <row r="18" customFormat="false" ht="15" hidden="false" customHeight="false" outlineLevel="0" collapsed="false">
      <c r="C18" s="225" t="n">
        <v>44015</v>
      </c>
      <c r="D18" s="214" t="n">
        <v>28000</v>
      </c>
      <c r="E18" s="226" t="s">
        <v>158</v>
      </c>
      <c r="F18" s="226" t="s">
        <v>86</v>
      </c>
      <c r="G18" s="226" t="s">
        <v>87</v>
      </c>
      <c r="H18" s="227" t="n">
        <v>7</v>
      </c>
      <c r="I18" s="228" t="s">
        <v>141</v>
      </c>
    </row>
    <row r="19" customFormat="false" ht="15" hidden="false" customHeight="false" outlineLevel="0" collapsed="false">
      <c r="C19" s="236" t="n">
        <v>44021</v>
      </c>
      <c r="D19" s="214" t="n">
        <v>4760</v>
      </c>
      <c r="E19" s="237" t="s">
        <v>147</v>
      </c>
      <c r="F19" s="237" t="s">
        <v>109</v>
      </c>
      <c r="G19" s="237" t="s">
        <v>87</v>
      </c>
      <c r="H19" s="238" t="n">
        <v>1</v>
      </c>
      <c r="I19" s="239" t="s">
        <v>122</v>
      </c>
    </row>
    <row r="20" customFormat="false" ht="15" hidden="false" customHeight="false" outlineLevel="0" collapsed="false">
      <c r="C20" s="51" t="n">
        <v>44019</v>
      </c>
      <c r="D20" s="214" t="n">
        <v>28000</v>
      </c>
      <c r="E20" s="53" t="s">
        <v>172</v>
      </c>
      <c r="F20" s="53" t="s">
        <v>173</v>
      </c>
      <c r="G20" s="53" t="s">
        <v>49</v>
      </c>
      <c r="H20" s="215" t="n">
        <v>7</v>
      </c>
      <c r="I20" s="216" t="s">
        <v>174</v>
      </c>
    </row>
    <row r="21" customFormat="false" ht="15" hidden="false" customHeight="false" outlineLevel="0" collapsed="false">
      <c r="C21" s="225" t="n">
        <v>44021</v>
      </c>
      <c r="D21" s="214" t="n">
        <v>16000</v>
      </c>
      <c r="E21" s="226" t="s">
        <v>179</v>
      </c>
      <c r="F21" s="226" t="s">
        <v>180</v>
      </c>
      <c r="G21" s="226" t="s">
        <v>181</v>
      </c>
      <c r="H21" s="227" t="n">
        <v>4</v>
      </c>
      <c r="I21" s="228" t="s">
        <v>182</v>
      </c>
    </row>
    <row r="22" customFormat="false" ht="15" hidden="false" customHeight="false" outlineLevel="0" collapsed="false">
      <c r="C22" s="236" t="n">
        <v>44021</v>
      </c>
      <c r="D22" s="214" t="n">
        <v>4760</v>
      </c>
      <c r="E22" s="237" t="s">
        <v>147</v>
      </c>
      <c r="F22" s="237" t="s">
        <v>109</v>
      </c>
      <c r="G22" s="237" t="s">
        <v>87</v>
      </c>
      <c r="H22" s="238" t="n">
        <v>1</v>
      </c>
      <c r="I22" s="239" t="s">
        <v>122</v>
      </c>
    </row>
    <row r="23" customFormat="false" ht="15" hidden="false" customHeight="false" outlineLevel="0" collapsed="false">
      <c r="C23" s="51" t="n">
        <v>44018</v>
      </c>
      <c r="D23" s="214" t="n">
        <v>56000</v>
      </c>
      <c r="E23" s="53" t="s">
        <v>194</v>
      </c>
      <c r="F23" s="53" t="s">
        <v>195</v>
      </c>
      <c r="G23" s="53" t="s">
        <v>196</v>
      </c>
      <c r="H23" s="215" t="n">
        <v>14</v>
      </c>
      <c r="I23" s="216" t="s">
        <v>141</v>
      </c>
    </row>
    <row r="24" customFormat="false" ht="15" hidden="false" customHeight="false" outlineLevel="0" collapsed="false">
      <c r="C24" s="51" t="n">
        <v>44029</v>
      </c>
      <c r="D24" s="214" t="n">
        <v>24000</v>
      </c>
      <c r="E24" s="53" t="s">
        <v>201</v>
      </c>
      <c r="F24" s="53" t="s">
        <v>202</v>
      </c>
      <c r="G24" s="53" t="s">
        <v>87</v>
      </c>
      <c r="H24" s="215" t="n">
        <v>6</v>
      </c>
      <c r="I24" s="216" t="s">
        <v>141</v>
      </c>
    </row>
    <row r="25" customFormat="false" ht="15" hidden="false" customHeight="false" outlineLevel="0" collapsed="false">
      <c r="C25" s="236" t="n">
        <v>44035</v>
      </c>
      <c r="D25" s="214" t="n">
        <v>4760</v>
      </c>
      <c r="E25" s="237" t="s">
        <v>147</v>
      </c>
      <c r="F25" s="237" t="s">
        <v>86</v>
      </c>
      <c r="G25" s="237" t="s">
        <v>87</v>
      </c>
      <c r="H25" s="238" t="n">
        <v>1</v>
      </c>
      <c r="I25" s="239" t="s">
        <v>122</v>
      </c>
    </row>
    <row r="26" customFormat="false" ht="15" hidden="false" customHeight="false" outlineLevel="0" collapsed="false">
      <c r="C26" s="51" t="n">
        <v>44026</v>
      </c>
      <c r="D26" s="214" t="n">
        <v>60000</v>
      </c>
      <c r="E26" s="53" t="s">
        <v>211</v>
      </c>
      <c r="F26" s="53" t="s">
        <v>212</v>
      </c>
      <c r="G26" s="53" t="s">
        <v>49</v>
      </c>
      <c r="H26" s="215" t="n">
        <v>15</v>
      </c>
      <c r="I26" s="216" t="s">
        <v>141</v>
      </c>
    </row>
    <row r="27" customFormat="false" ht="15" hidden="false" customHeight="false" outlineLevel="0" collapsed="false">
      <c r="C27" s="164" t="n">
        <v>44042</v>
      </c>
      <c r="D27" s="265" t="n">
        <v>4760</v>
      </c>
      <c r="E27" s="166" t="s">
        <v>147</v>
      </c>
      <c r="F27" s="166" t="s">
        <v>195</v>
      </c>
      <c r="G27" s="166" t="s">
        <v>87</v>
      </c>
      <c r="H27" s="266" t="n">
        <v>1</v>
      </c>
      <c r="I27" s="267" t="s">
        <v>122</v>
      </c>
    </row>
    <row r="28" customFormat="false" ht="15" hidden="false" customHeight="false" outlineLevel="0" collapsed="false">
      <c r="C28" s="270" t="s">
        <v>77</v>
      </c>
      <c r="D28" s="181" t="n">
        <f aca="false">SUM(D16:D27)</f>
        <v>315040</v>
      </c>
      <c r="E28" s="271"/>
      <c r="F28" s="272"/>
      <c r="G28" s="273"/>
      <c r="H28" s="274"/>
      <c r="I28" s="275"/>
    </row>
    <row r="29" customFormat="false" ht="15" hidden="false" customHeight="false" outlineLevel="0" collapsed="false">
      <c r="C29" s="171" t="s">
        <v>112</v>
      </c>
      <c r="D29" s="171"/>
      <c r="E29" s="171"/>
      <c r="F29" s="171"/>
      <c r="G29" s="171"/>
      <c r="H29" s="171"/>
      <c r="I29" s="171"/>
    </row>
    <row r="30" customFormat="false" ht="15" hidden="false" customHeight="false" outlineLevel="0" collapsed="false">
      <c r="C30" s="281" t="n">
        <v>44013</v>
      </c>
      <c r="D30" s="282" t="n">
        <v>694653</v>
      </c>
      <c r="E30" s="283" t="s">
        <v>141</v>
      </c>
      <c r="F30" s="188" t="s">
        <v>225</v>
      </c>
      <c r="G30" s="284"/>
      <c r="H30" s="285"/>
      <c r="I30" s="286"/>
    </row>
    <row r="31" customFormat="false" ht="15" hidden="false" customHeight="false" outlineLevel="0" collapsed="false">
      <c r="C31" s="288" t="n">
        <v>44013</v>
      </c>
      <c r="D31" s="289" t="n">
        <v>60062</v>
      </c>
      <c r="E31" s="290" t="s">
        <v>227</v>
      </c>
      <c r="F31" s="291" t="s">
        <v>228</v>
      </c>
      <c r="G31" s="292"/>
      <c r="H31" s="293"/>
      <c r="I31" s="294"/>
    </row>
    <row r="32" customFormat="false" ht="15" hidden="false" customHeight="false" outlineLevel="0" collapsed="false">
      <c r="C32" s="297" t="n">
        <v>44014</v>
      </c>
      <c r="D32" s="298" t="n">
        <v>455508</v>
      </c>
      <c r="E32" s="299" t="s">
        <v>122</v>
      </c>
      <c r="F32" s="196" t="s">
        <v>231</v>
      </c>
      <c r="G32" s="300"/>
      <c r="H32" s="301"/>
      <c r="I32" s="302"/>
    </row>
    <row r="33" customFormat="false" ht="15" hidden="false" customHeight="false" outlineLevel="0" collapsed="false">
      <c r="C33" s="30" t="s">
        <v>77</v>
      </c>
      <c r="D33" s="181" t="n">
        <f aca="false">SUM(D30:D32)</f>
        <v>1210223</v>
      </c>
      <c r="E33" s="3"/>
      <c r="F33" s="4"/>
      <c r="G33" s="5"/>
      <c r="H33" s="1"/>
      <c r="I33" s="304"/>
    </row>
    <row r="34" customFormat="false" ht="15" hidden="false" customHeight="false" outlineLevel="0" collapsed="false">
      <c r="C34" s="305" t="s">
        <v>240</v>
      </c>
      <c r="D34" s="305"/>
      <c r="E34" s="305"/>
      <c r="F34" s="305"/>
      <c r="G34" s="305"/>
      <c r="H34" s="305"/>
      <c r="I34" s="305"/>
    </row>
    <row r="35" customFormat="false" ht="15" hidden="false" customHeight="false" outlineLevel="0" collapsed="false">
      <c r="C35" s="43" t="n">
        <v>43968</v>
      </c>
      <c r="D35" s="44" t="n">
        <v>386749.881</v>
      </c>
      <c r="E35" s="45" t="s">
        <v>243</v>
      </c>
      <c r="F35" s="45" t="s">
        <v>244</v>
      </c>
      <c r="G35" s="45" t="s">
        <v>181</v>
      </c>
      <c r="H35" s="46" t="n">
        <v>15</v>
      </c>
      <c r="I35" s="206"/>
    </row>
    <row r="36" customFormat="false" ht="15" hidden="false" customHeight="false" outlineLevel="0" collapsed="false">
      <c r="C36" s="51" t="n">
        <v>43995</v>
      </c>
      <c r="D36" s="105" t="n">
        <v>271320</v>
      </c>
      <c r="E36" s="53" t="s">
        <v>243</v>
      </c>
      <c r="F36" s="53" t="s">
        <v>246</v>
      </c>
      <c r="G36" s="53" t="s">
        <v>87</v>
      </c>
      <c r="H36" s="54" t="n">
        <v>6</v>
      </c>
      <c r="I36" s="216"/>
    </row>
    <row r="37" customFormat="false" ht="15" hidden="false" customHeight="false" outlineLevel="0" collapsed="false">
      <c r="C37" s="51" t="n">
        <v>43971</v>
      </c>
      <c r="D37" s="52" t="n">
        <v>678300</v>
      </c>
      <c r="E37" s="53" t="s">
        <v>250</v>
      </c>
      <c r="F37" s="53" t="s">
        <v>251</v>
      </c>
      <c r="G37" s="53" t="s">
        <v>87</v>
      </c>
      <c r="H37" s="54" t="n">
        <v>30</v>
      </c>
      <c r="I37" s="216"/>
    </row>
    <row r="38" customFormat="false" ht="15" hidden="false" customHeight="false" outlineLevel="0" collapsed="false">
      <c r="C38" s="225" t="n">
        <v>44013</v>
      </c>
      <c r="D38" s="52" t="n">
        <v>83300</v>
      </c>
      <c r="E38" s="226" t="s">
        <v>255</v>
      </c>
      <c r="F38" s="226" t="s">
        <v>256</v>
      </c>
      <c r="G38" s="226" t="s">
        <v>60</v>
      </c>
      <c r="H38" s="313" t="n">
        <v>2</v>
      </c>
      <c r="I38" s="216"/>
    </row>
    <row r="39" customFormat="false" ht="15" hidden="false" customHeight="false" outlineLevel="0" collapsed="false">
      <c r="C39" s="51" t="n">
        <v>44013</v>
      </c>
      <c r="D39" s="105" t="n">
        <v>47600</v>
      </c>
      <c r="E39" s="53" t="s">
        <v>259</v>
      </c>
      <c r="F39" s="53" t="s">
        <v>173</v>
      </c>
      <c r="G39" s="53" t="s">
        <v>49</v>
      </c>
      <c r="H39" s="54" t="n">
        <v>2</v>
      </c>
      <c r="I39" s="216"/>
    </row>
    <row r="40" customFormat="false" ht="15" hidden="false" customHeight="false" outlineLevel="0" collapsed="false">
      <c r="C40" s="51" t="n">
        <v>44014</v>
      </c>
      <c r="D40" s="105" t="n">
        <v>47600</v>
      </c>
      <c r="E40" s="53" t="s">
        <v>263</v>
      </c>
      <c r="F40" s="53" t="s">
        <v>195</v>
      </c>
      <c r="G40" s="53" t="s">
        <v>87</v>
      </c>
      <c r="H40" s="316" t="n">
        <v>2</v>
      </c>
      <c r="I40" s="216"/>
    </row>
    <row r="41" customFormat="false" ht="15" hidden="false" customHeight="false" outlineLevel="0" collapsed="false">
      <c r="C41" s="225" t="n">
        <v>44015</v>
      </c>
      <c r="D41" s="52" t="n">
        <v>107100</v>
      </c>
      <c r="E41" s="226" t="s">
        <v>266</v>
      </c>
      <c r="F41" s="226" t="s">
        <v>109</v>
      </c>
      <c r="G41" s="226" t="s">
        <v>87</v>
      </c>
      <c r="H41" s="313" t="n">
        <v>3</v>
      </c>
      <c r="I41" s="216"/>
    </row>
    <row r="42" customFormat="false" ht="15" hidden="false" customHeight="false" outlineLevel="0" collapsed="false">
      <c r="C42" s="225" t="n">
        <v>44017</v>
      </c>
      <c r="D42" s="52" t="n">
        <v>35700</v>
      </c>
      <c r="E42" s="226" t="s">
        <v>266</v>
      </c>
      <c r="F42" s="226" t="s">
        <v>109</v>
      </c>
      <c r="G42" s="226" t="s">
        <v>87</v>
      </c>
      <c r="H42" s="313" t="n">
        <v>1</v>
      </c>
      <c r="I42" s="216"/>
    </row>
    <row r="43" customFormat="false" ht="15" hidden="false" customHeight="false" outlineLevel="0" collapsed="false">
      <c r="C43" s="51" t="n">
        <v>44012</v>
      </c>
      <c r="D43" s="105" t="n">
        <v>134866.666666508</v>
      </c>
      <c r="E43" s="53" t="s">
        <v>271</v>
      </c>
      <c r="F43" s="53" t="s">
        <v>272</v>
      </c>
      <c r="G43" s="53" t="s">
        <v>60</v>
      </c>
      <c r="H43" s="54" t="n">
        <v>4</v>
      </c>
      <c r="I43" s="216"/>
    </row>
    <row r="44" customFormat="false" ht="15" hidden="false" customHeight="false" outlineLevel="0" collapsed="false">
      <c r="C44" s="225" t="n">
        <v>44018</v>
      </c>
      <c r="D44" s="52" t="n">
        <v>71400</v>
      </c>
      <c r="E44" s="226" t="s">
        <v>259</v>
      </c>
      <c r="F44" s="226" t="s">
        <v>148</v>
      </c>
      <c r="G44" s="226" t="s">
        <v>87</v>
      </c>
      <c r="H44" s="313" t="n">
        <v>3</v>
      </c>
      <c r="I44" s="228"/>
    </row>
    <row r="45" customFormat="false" ht="15" hidden="false" customHeight="false" outlineLevel="0" collapsed="false">
      <c r="C45" s="51" t="n">
        <v>44015</v>
      </c>
      <c r="D45" s="105" t="n">
        <v>366520</v>
      </c>
      <c r="E45" s="53" t="s">
        <v>276</v>
      </c>
      <c r="F45" s="53" t="s">
        <v>277</v>
      </c>
      <c r="G45" s="53" t="s">
        <v>278</v>
      </c>
      <c r="H45" s="54" t="n">
        <v>7</v>
      </c>
      <c r="I45" s="216"/>
    </row>
    <row r="46" customFormat="false" ht="15" hidden="false" customHeight="false" outlineLevel="0" collapsed="false">
      <c r="C46" s="51" t="n">
        <v>44042</v>
      </c>
      <c r="D46" s="52" t="n">
        <v>349860</v>
      </c>
      <c r="E46" s="53" t="s">
        <v>282</v>
      </c>
      <c r="F46" s="53" t="s">
        <v>283</v>
      </c>
      <c r="G46" s="53" t="s">
        <v>284</v>
      </c>
      <c r="H46" s="54" t="n">
        <v>7</v>
      </c>
      <c r="I46" s="216"/>
    </row>
    <row r="47" customFormat="false" ht="15" hidden="false" customHeight="false" outlineLevel="0" collapsed="false">
      <c r="C47" s="51" t="n">
        <v>44018</v>
      </c>
      <c r="D47" s="105" t="n">
        <v>124950</v>
      </c>
      <c r="E47" s="53" t="s">
        <v>255</v>
      </c>
      <c r="F47" s="53" t="s">
        <v>286</v>
      </c>
      <c r="G47" s="53" t="s">
        <v>60</v>
      </c>
      <c r="H47" s="54" t="n">
        <v>3</v>
      </c>
      <c r="I47" s="216"/>
    </row>
    <row r="48" customFormat="false" ht="61.05" hidden="false" customHeight="false" outlineLevel="0" collapsed="false">
      <c r="C48" s="51" t="n">
        <v>44019</v>
      </c>
      <c r="D48" s="105" t="n">
        <v>728297.136</v>
      </c>
      <c r="E48" s="53" t="s">
        <v>288</v>
      </c>
      <c r="F48" s="327" t="s">
        <v>289</v>
      </c>
      <c r="G48" s="53" t="s">
        <v>87</v>
      </c>
      <c r="H48" s="54" t="n">
        <v>18</v>
      </c>
      <c r="I48" s="216"/>
    </row>
    <row r="49" customFormat="false" ht="15" hidden="false" customHeight="false" outlineLevel="0" collapsed="false">
      <c r="C49" s="51" t="n">
        <v>44021</v>
      </c>
      <c r="D49" s="105" t="n">
        <v>47600</v>
      </c>
      <c r="E49" s="53" t="s">
        <v>263</v>
      </c>
      <c r="F49" s="53" t="s">
        <v>97</v>
      </c>
      <c r="G49" s="53" t="s">
        <v>87</v>
      </c>
      <c r="H49" s="316" t="n">
        <v>2</v>
      </c>
      <c r="I49" s="216"/>
    </row>
    <row r="50" customFormat="false" ht="15" hidden="false" customHeight="false" outlineLevel="0" collapsed="false">
      <c r="C50" s="51" t="n">
        <v>44020</v>
      </c>
      <c r="D50" s="105" t="n">
        <v>124950</v>
      </c>
      <c r="E50" s="53" t="s">
        <v>255</v>
      </c>
      <c r="F50" s="53" t="s">
        <v>286</v>
      </c>
      <c r="G50" s="53" t="s">
        <v>60</v>
      </c>
      <c r="H50" s="54" t="n">
        <v>3</v>
      </c>
      <c r="I50" s="216"/>
    </row>
    <row r="51" customFormat="false" ht="15" hidden="false" customHeight="false" outlineLevel="0" collapsed="false">
      <c r="C51" s="51" t="n">
        <v>44022</v>
      </c>
      <c r="D51" s="105" t="n">
        <v>366520</v>
      </c>
      <c r="E51" s="53" t="s">
        <v>276</v>
      </c>
      <c r="F51" s="53" t="s">
        <v>277</v>
      </c>
      <c r="G51" s="53" t="s">
        <v>60</v>
      </c>
      <c r="H51" s="54" t="n">
        <v>7</v>
      </c>
      <c r="I51" s="216"/>
    </row>
    <row r="52" customFormat="false" ht="15" hidden="false" customHeight="false" outlineLevel="0" collapsed="false">
      <c r="C52" s="51" t="n">
        <v>44018</v>
      </c>
      <c r="D52" s="105" t="n">
        <v>850000</v>
      </c>
      <c r="E52" s="53" t="s">
        <v>293</v>
      </c>
      <c r="F52" s="53" t="s">
        <v>294</v>
      </c>
      <c r="G52" s="53" t="s">
        <v>60</v>
      </c>
      <c r="H52" s="54" t="n">
        <v>30</v>
      </c>
      <c r="I52" s="216"/>
    </row>
    <row r="53" customFormat="false" ht="15" hidden="false" customHeight="false" outlineLevel="0" collapsed="false">
      <c r="C53" s="51" t="n">
        <v>44018</v>
      </c>
      <c r="D53" s="105" t="n">
        <v>850000</v>
      </c>
      <c r="E53" s="53" t="s">
        <v>293</v>
      </c>
      <c r="F53" s="53" t="s">
        <v>297</v>
      </c>
      <c r="G53" s="53" t="s">
        <v>298</v>
      </c>
      <c r="H53" s="54" t="n">
        <v>30</v>
      </c>
      <c r="I53" s="216"/>
    </row>
    <row r="54" customFormat="false" ht="15" hidden="false" customHeight="false" outlineLevel="0" collapsed="false">
      <c r="C54" s="225" t="n">
        <v>44026</v>
      </c>
      <c r="D54" s="52" t="n">
        <v>63070</v>
      </c>
      <c r="E54" s="226" t="s">
        <v>302</v>
      </c>
      <c r="F54" s="226" t="s">
        <v>303</v>
      </c>
      <c r="G54" s="226" t="s">
        <v>298</v>
      </c>
      <c r="H54" s="313" t="n">
        <v>1</v>
      </c>
      <c r="I54" s="216"/>
    </row>
    <row r="55" customFormat="false" ht="15" hidden="false" customHeight="false" outlineLevel="0" collapsed="false">
      <c r="C55" s="225" t="n">
        <v>44027</v>
      </c>
      <c r="D55" s="52" t="n">
        <v>126140</v>
      </c>
      <c r="E55" s="226" t="s">
        <v>302</v>
      </c>
      <c r="F55" s="226" t="s">
        <v>303</v>
      </c>
      <c r="G55" s="226" t="s">
        <v>298</v>
      </c>
      <c r="H55" s="313" t="n">
        <v>2</v>
      </c>
      <c r="I55" s="216"/>
    </row>
    <row r="56" customFormat="false" ht="15" hidden="false" customHeight="false" outlineLevel="0" collapsed="false">
      <c r="C56" s="51" t="n">
        <v>44022</v>
      </c>
      <c r="D56" s="52" t="n">
        <v>142800</v>
      </c>
      <c r="E56" s="53" t="s">
        <v>266</v>
      </c>
      <c r="F56" s="53" t="s">
        <v>73</v>
      </c>
      <c r="G56" s="53" t="s">
        <v>49</v>
      </c>
      <c r="H56" s="54" t="n">
        <v>4</v>
      </c>
      <c r="I56" s="216"/>
    </row>
    <row r="57" customFormat="false" ht="15" hidden="false" customHeight="false" outlineLevel="0" collapsed="false">
      <c r="C57" s="51" t="n">
        <v>44030</v>
      </c>
      <c r="D57" s="52" t="n">
        <v>297500</v>
      </c>
      <c r="E57" s="53" t="s">
        <v>310</v>
      </c>
      <c r="F57" s="53" t="s">
        <v>311</v>
      </c>
      <c r="G57" s="53" t="s">
        <v>87</v>
      </c>
      <c r="H57" s="54" t="n">
        <v>10</v>
      </c>
      <c r="I57" s="216"/>
    </row>
    <row r="58" customFormat="false" ht="15" hidden="false" customHeight="false" outlineLevel="0" collapsed="false">
      <c r="C58" s="51" t="n">
        <v>44019</v>
      </c>
      <c r="D58" s="52" t="n">
        <v>642600</v>
      </c>
      <c r="E58" s="53" t="s">
        <v>282</v>
      </c>
      <c r="F58" s="53" t="s">
        <v>283</v>
      </c>
      <c r="G58" s="53" t="s">
        <v>284</v>
      </c>
      <c r="H58" s="54" t="n">
        <v>15</v>
      </c>
      <c r="I58" s="216"/>
    </row>
    <row r="59" customFormat="false" ht="15" hidden="false" customHeight="false" outlineLevel="0" collapsed="false">
      <c r="C59" s="51" t="n">
        <v>44034</v>
      </c>
      <c r="D59" s="105" t="n">
        <v>124950</v>
      </c>
      <c r="E59" s="53" t="s">
        <v>255</v>
      </c>
      <c r="F59" s="53" t="s">
        <v>316</v>
      </c>
      <c r="G59" s="53" t="s">
        <v>60</v>
      </c>
      <c r="H59" s="54" t="n">
        <v>3</v>
      </c>
      <c r="I59" s="216"/>
    </row>
    <row r="60" customFormat="false" ht="15" hidden="false" customHeight="false" outlineLevel="0" collapsed="false">
      <c r="C60" s="338" t="n">
        <v>43998</v>
      </c>
      <c r="D60" s="52" t="n">
        <v>0</v>
      </c>
      <c r="E60" s="53" t="s">
        <v>319</v>
      </c>
      <c r="F60" s="53" t="s">
        <v>59</v>
      </c>
      <c r="G60" s="53" t="s">
        <v>60</v>
      </c>
      <c r="H60" s="293"/>
      <c r="I60" s="216"/>
    </row>
    <row r="61" customFormat="false" ht="15" hidden="false" customHeight="false" outlineLevel="0" collapsed="false">
      <c r="C61" s="51" t="n">
        <v>44022</v>
      </c>
      <c r="D61" s="105" t="n">
        <v>157080</v>
      </c>
      <c r="E61" s="53" t="s">
        <v>276</v>
      </c>
      <c r="F61" s="53" t="s">
        <v>277</v>
      </c>
      <c r="G61" s="53" t="s">
        <v>60</v>
      </c>
      <c r="H61" s="54" t="n">
        <v>3</v>
      </c>
      <c r="I61" s="216"/>
    </row>
    <row r="62" customFormat="false" ht="15" hidden="false" customHeight="false" outlineLevel="0" collapsed="false">
      <c r="C62" s="51" t="n">
        <v>44035</v>
      </c>
      <c r="D62" s="105" t="n">
        <v>921985.8199881</v>
      </c>
      <c r="E62" s="53" t="s">
        <v>322</v>
      </c>
      <c r="F62" s="53" t="s">
        <v>323</v>
      </c>
      <c r="G62" s="53" t="s">
        <v>60</v>
      </c>
      <c r="H62" s="54" t="n">
        <v>30</v>
      </c>
      <c r="I62" s="216"/>
    </row>
    <row r="63" customFormat="false" ht="15" hidden="false" customHeight="false" outlineLevel="0" collapsed="false">
      <c r="C63" s="225" t="n">
        <v>44029</v>
      </c>
      <c r="D63" s="52" t="n">
        <v>180880</v>
      </c>
      <c r="E63" s="226" t="s">
        <v>266</v>
      </c>
      <c r="F63" s="226" t="s">
        <v>326</v>
      </c>
      <c r="G63" s="226" t="s">
        <v>181</v>
      </c>
      <c r="H63" s="313" t="n">
        <v>4</v>
      </c>
      <c r="I63" s="216"/>
    </row>
    <row r="64" customFormat="false" ht="15" hidden="false" customHeight="false" outlineLevel="0" collapsed="false">
      <c r="C64" s="51" t="n">
        <v>44007</v>
      </c>
      <c r="D64" s="105" t="n">
        <v>952011.9</v>
      </c>
      <c r="E64" s="53" t="s">
        <v>288</v>
      </c>
      <c r="F64" s="53" t="s">
        <v>328</v>
      </c>
      <c r="G64" s="53" t="s">
        <v>60</v>
      </c>
      <c r="H64" s="54" t="n">
        <v>30</v>
      </c>
      <c r="I64" s="216"/>
    </row>
    <row r="65" customFormat="false" ht="15" hidden="false" customHeight="false" outlineLevel="0" collapsed="false">
      <c r="C65" s="51" t="n">
        <v>44007</v>
      </c>
      <c r="D65" s="105" t="n">
        <v>952011.9</v>
      </c>
      <c r="E65" s="53" t="s">
        <v>288</v>
      </c>
      <c r="F65" s="53" t="s">
        <v>256</v>
      </c>
      <c r="G65" s="53" t="s">
        <v>60</v>
      </c>
      <c r="H65" s="54" t="n">
        <v>30</v>
      </c>
      <c r="I65" s="216"/>
    </row>
    <row r="66" customFormat="false" ht="15" hidden="false" customHeight="false" outlineLevel="0" collapsed="false">
      <c r="C66" s="51" t="n">
        <v>44007</v>
      </c>
      <c r="D66" s="105" t="n">
        <v>952011.9</v>
      </c>
      <c r="E66" s="53" t="s">
        <v>288</v>
      </c>
      <c r="F66" s="53" t="s">
        <v>286</v>
      </c>
      <c r="G66" s="53" t="s">
        <v>60</v>
      </c>
      <c r="H66" s="54" t="n">
        <v>30</v>
      </c>
      <c r="I66" s="216"/>
    </row>
    <row r="67" customFormat="false" ht="15" hidden="false" customHeight="false" outlineLevel="0" collapsed="false">
      <c r="C67" s="51" t="n">
        <v>44034</v>
      </c>
      <c r="D67" s="52" t="n">
        <v>257040</v>
      </c>
      <c r="E67" s="53" t="s">
        <v>282</v>
      </c>
      <c r="F67" s="53" t="s">
        <v>303</v>
      </c>
      <c r="G67" s="53" t="s">
        <v>284</v>
      </c>
      <c r="H67" s="54" t="n">
        <v>6</v>
      </c>
      <c r="I67" s="349"/>
    </row>
    <row r="68" customFormat="false" ht="15" hidden="false" customHeight="false" outlineLevel="0" collapsed="false">
      <c r="C68" s="51" t="n">
        <v>44039</v>
      </c>
      <c r="D68" s="105" t="n">
        <v>1011500</v>
      </c>
      <c r="E68" s="53" t="s">
        <v>334</v>
      </c>
      <c r="F68" s="53" t="s">
        <v>335</v>
      </c>
      <c r="G68" s="53" t="s">
        <v>278</v>
      </c>
      <c r="H68" s="316" t="n">
        <v>1</v>
      </c>
      <c r="I68" s="228"/>
    </row>
    <row r="69" customFormat="false" ht="15" hidden="false" customHeight="false" outlineLevel="0" collapsed="false">
      <c r="C69" s="51" t="n">
        <v>44040</v>
      </c>
      <c r="D69" s="105" t="n">
        <v>124950</v>
      </c>
      <c r="E69" s="53" t="s">
        <v>271</v>
      </c>
      <c r="F69" s="53" t="s">
        <v>277</v>
      </c>
      <c r="G69" s="53" t="s">
        <v>60</v>
      </c>
      <c r="H69" s="54" t="n">
        <v>3</v>
      </c>
      <c r="I69" s="216"/>
    </row>
    <row r="70" customFormat="false" ht="15" hidden="false" customHeight="false" outlineLevel="0" collapsed="false">
      <c r="C70" s="51" t="n">
        <v>44024</v>
      </c>
      <c r="D70" s="105" t="n">
        <v>1094799.762</v>
      </c>
      <c r="E70" s="53" t="s">
        <v>338</v>
      </c>
      <c r="F70" s="53" t="s">
        <v>339</v>
      </c>
      <c r="G70" s="53" t="s">
        <v>340</v>
      </c>
      <c r="H70" s="54" t="n">
        <v>30</v>
      </c>
      <c r="I70" s="216"/>
    </row>
    <row r="71" customFormat="false" ht="15" hidden="false" customHeight="false" outlineLevel="0" collapsed="false">
      <c r="C71" s="51" t="n">
        <v>44043</v>
      </c>
      <c r="D71" s="105" t="n">
        <v>89250</v>
      </c>
      <c r="E71" s="53" t="s">
        <v>343</v>
      </c>
      <c r="F71" s="53" t="s">
        <v>180</v>
      </c>
      <c r="G71" s="53" t="s">
        <v>181</v>
      </c>
      <c r="H71" s="54" t="n">
        <v>3</v>
      </c>
      <c r="I71" s="216"/>
    </row>
    <row r="72" customFormat="false" ht="15" hidden="false" customHeight="false" outlineLevel="0" collapsed="false">
      <c r="C72" s="51" t="n">
        <v>44043</v>
      </c>
      <c r="D72" s="105" t="n">
        <v>47600</v>
      </c>
      <c r="E72" s="53" t="s">
        <v>345</v>
      </c>
      <c r="F72" s="53" t="s">
        <v>303</v>
      </c>
      <c r="G72" s="53" t="s">
        <v>298</v>
      </c>
      <c r="H72" s="54" t="n">
        <v>1</v>
      </c>
      <c r="I72" s="216"/>
    </row>
    <row r="73" customFormat="false" ht="15" hidden="false" customHeight="false" outlineLevel="0" collapsed="false">
      <c r="C73" s="51" t="n">
        <v>44043</v>
      </c>
      <c r="D73" s="105" t="n">
        <v>59999.99999973</v>
      </c>
      <c r="E73" s="53" t="s">
        <v>347</v>
      </c>
      <c r="F73" s="53" t="s">
        <v>311</v>
      </c>
      <c r="G73" s="53" t="s">
        <v>87</v>
      </c>
      <c r="H73" s="54" t="n">
        <v>3</v>
      </c>
      <c r="I73" s="216"/>
    </row>
    <row r="74" customFormat="false" ht="15" hidden="false" customHeight="false" outlineLevel="0" collapsed="false">
      <c r="C74" s="225" t="n">
        <v>44026</v>
      </c>
      <c r="D74" s="52" t="n">
        <v>238000</v>
      </c>
      <c r="E74" s="226" t="s">
        <v>349</v>
      </c>
      <c r="F74" s="226" t="s">
        <v>246</v>
      </c>
      <c r="G74" s="226" t="s">
        <v>87</v>
      </c>
      <c r="H74" s="313" t="n">
        <v>10</v>
      </c>
      <c r="I74" s="216"/>
    </row>
    <row r="75" customFormat="false" ht="15" hidden="false" customHeight="false" outlineLevel="0" collapsed="false">
      <c r="C75" s="358" t="s">
        <v>351</v>
      </c>
      <c r="D75" s="165" t="n">
        <v>242760</v>
      </c>
      <c r="E75" s="359" t="s">
        <v>266</v>
      </c>
      <c r="F75" s="359" t="s">
        <v>59</v>
      </c>
      <c r="G75" s="359" t="s">
        <v>60</v>
      </c>
      <c r="H75" s="360" t="n">
        <v>4</v>
      </c>
      <c r="I75" s="267"/>
    </row>
    <row r="76" customFormat="false" ht="15" hidden="false" customHeight="false" outlineLevel="0" collapsed="false">
      <c r="C76" s="30" t="s">
        <v>77</v>
      </c>
      <c r="D76" s="181" t="n">
        <f aca="false">SUM(D35:D75)</f>
        <v>14351574.9656543</v>
      </c>
      <c r="E76" s="362"/>
      <c r="F76" s="363"/>
      <c r="G76" s="364"/>
      <c r="H76" s="365"/>
      <c r="I76" s="304"/>
    </row>
    <row r="77" customFormat="false" ht="15" hidden="false" customHeight="false" outlineLevel="0" collapsed="false">
      <c r="C77" s="49" t="s">
        <v>353</v>
      </c>
      <c r="D77" s="49"/>
      <c r="E77" s="49"/>
      <c r="F77" s="49"/>
      <c r="G77" s="49"/>
      <c r="H77" s="49"/>
      <c r="I77" s="49"/>
    </row>
    <row r="78" customFormat="false" ht="15" hidden="false" customHeight="false" outlineLevel="0" collapsed="false">
      <c r="C78" s="43" t="n">
        <v>44014</v>
      </c>
      <c r="D78" s="44" t="n">
        <v>16660</v>
      </c>
      <c r="E78" s="45" t="s">
        <v>263</v>
      </c>
      <c r="F78" s="45" t="s">
        <v>195</v>
      </c>
      <c r="G78" s="45" t="s">
        <v>87</v>
      </c>
      <c r="H78" s="367" t="n">
        <v>2</v>
      </c>
      <c r="I78" s="206"/>
    </row>
    <row r="79" customFormat="false" ht="15" hidden="false" customHeight="false" outlineLevel="0" collapsed="false">
      <c r="C79" s="51" t="n">
        <v>44021</v>
      </c>
      <c r="D79" s="105" t="n">
        <v>16660</v>
      </c>
      <c r="E79" s="53" t="s">
        <v>263</v>
      </c>
      <c r="F79" s="53" t="s">
        <v>97</v>
      </c>
      <c r="G79" s="53" t="s">
        <v>87</v>
      </c>
      <c r="H79" s="316" t="n">
        <v>2</v>
      </c>
      <c r="I79" s="55"/>
    </row>
    <row r="80" customFormat="false" ht="15" hidden="false" customHeight="false" outlineLevel="0" collapsed="false">
      <c r="C80" s="338" t="n">
        <v>43998</v>
      </c>
      <c r="D80" s="52" t="n">
        <v>24990</v>
      </c>
      <c r="E80" s="53" t="s">
        <v>319</v>
      </c>
      <c r="F80" s="53" t="s">
        <v>59</v>
      </c>
      <c r="G80" s="53" t="s">
        <v>60</v>
      </c>
      <c r="H80" s="293" t="n">
        <v>3</v>
      </c>
      <c r="I80" s="216"/>
    </row>
    <row r="81" customFormat="false" ht="15" hidden="false" customHeight="false" outlineLevel="0" collapsed="false">
      <c r="C81" s="51" t="n">
        <v>44039</v>
      </c>
      <c r="D81" s="105" t="n">
        <v>49980</v>
      </c>
      <c r="E81" s="53" t="s">
        <v>334</v>
      </c>
      <c r="F81" s="53" t="s">
        <v>335</v>
      </c>
      <c r="G81" s="53" t="s">
        <v>278</v>
      </c>
      <c r="H81" s="316" t="n">
        <v>6</v>
      </c>
      <c r="I81" s="228"/>
    </row>
    <row r="82" customFormat="false" ht="15" hidden="false" customHeight="false" outlineLevel="0" collapsed="false">
      <c r="C82" s="51" t="n">
        <v>44024</v>
      </c>
      <c r="D82" s="105" t="n">
        <v>41650</v>
      </c>
      <c r="E82" s="53" t="s">
        <v>338</v>
      </c>
      <c r="F82" s="53" t="s">
        <v>339</v>
      </c>
      <c r="G82" s="53" t="s">
        <v>340</v>
      </c>
      <c r="H82" s="54" t="n">
        <v>5</v>
      </c>
      <c r="I82" s="216"/>
    </row>
    <row r="83" customFormat="false" ht="15" hidden="false" customHeight="false" outlineLevel="0" collapsed="false">
      <c r="C83" s="51" t="n">
        <v>44014</v>
      </c>
      <c r="D83" s="105" t="n">
        <v>5400</v>
      </c>
      <c r="E83" s="53" t="s">
        <v>263</v>
      </c>
      <c r="F83" s="53" t="s">
        <v>195</v>
      </c>
      <c r="G83" s="53" t="s">
        <v>87</v>
      </c>
      <c r="H83" s="316" t="s">
        <v>357</v>
      </c>
      <c r="I83" s="228"/>
    </row>
    <row r="84" customFormat="false" ht="15" hidden="false" customHeight="false" outlineLevel="0" collapsed="false">
      <c r="C84" s="51" t="n">
        <v>44021</v>
      </c>
      <c r="D84" s="105" t="n">
        <v>5400</v>
      </c>
      <c r="E84" s="53" t="s">
        <v>263</v>
      </c>
      <c r="F84" s="53" t="s">
        <v>97</v>
      </c>
      <c r="G84" s="53" t="s">
        <v>87</v>
      </c>
      <c r="H84" s="316" t="s">
        <v>357</v>
      </c>
      <c r="I84" s="216"/>
    </row>
    <row r="85" customFormat="false" ht="15" hidden="false" customHeight="false" outlineLevel="0" collapsed="false">
      <c r="C85" s="51" t="n">
        <v>44024</v>
      </c>
      <c r="D85" s="105" t="n">
        <v>10800</v>
      </c>
      <c r="E85" s="53" t="s">
        <v>338</v>
      </c>
      <c r="F85" s="53" t="s">
        <v>339</v>
      </c>
      <c r="G85" s="53" t="s">
        <v>340</v>
      </c>
      <c r="H85" s="54" t="s">
        <v>357</v>
      </c>
      <c r="I85" s="216"/>
    </row>
    <row r="86" customFormat="false" ht="15" hidden="false" customHeight="false" outlineLevel="0" collapsed="false">
      <c r="C86" s="51" t="n">
        <v>44030</v>
      </c>
      <c r="D86" s="52" t="n">
        <v>24990</v>
      </c>
      <c r="E86" s="53" t="s">
        <v>108</v>
      </c>
      <c r="F86" s="53" t="s">
        <v>109</v>
      </c>
      <c r="G86" s="53" t="s">
        <v>87</v>
      </c>
      <c r="H86" s="54" t="n">
        <v>3</v>
      </c>
      <c r="I86" s="55"/>
    </row>
    <row r="87" customFormat="false" ht="15" hidden="false" customHeight="false" outlineLevel="0" collapsed="false">
      <c r="C87" s="225" t="n">
        <v>44012</v>
      </c>
      <c r="D87" s="52" t="n">
        <v>102390</v>
      </c>
      <c r="E87" s="226" t="s">
        <v>362</v>
      </c>
      <c r="F87" s="226" t="s">
        <v>303</v>
      </c>
      <c r="G87" s="226" t="s">
        <v>298</v>
      </c>
      <c r="H87" s="313" t="s">
        <v>357</v>
      </c>
      <c r="I87" s="55"/>
    </row>
    <row r="88" customFormat="false" ht="15" hidden="false" customHeight="false" outlineLevel="0" collapsed="false">
      <c r="C88" s="164" t="n">
        <v>44030</v>
      </c>
      <c r="D88" s="165" t="n">
        <v>5400</v>
      </c>
      <c r="E88" s="166" t="s">
        <v>108</v>
      </c>
      <c r="F88" s="166" t="s">
        <v>109</v>
      </c>
      <c r="G88" s="166" t="s">
        <v>87</v>
      </c>
      <c r="H88" s="167" t="s">
        <v>357</v>
      </c>
      <c r="I88" s="168"/>
    </row>
    <row r="89" customFormat="false" ht="15" hidden="false" customHeight="false" outlineLevel="0" collapsed="false">
      <c r="C89" s="370" t="s">
        <v>77</v>
      </c>
      <c r="D89" s="371" t="n">
        <f aca="false">SUM(D78:D88)</f>
        <v>304320</v>
      </c>
      <c r="E89" s="3"/>
      <c r="F89" s="4"/>
      <c r="G89" s="5"/>
      <c r="H89" s="1"/>
      <c r="I89" s="182"/>
    </row>
    <row r="90" customFormat="false" ht="15" hidden="false" customHeight="false" outlineLevel="0" collapsed="false">
      <c r="C90" s="49" t="s">
        <v>93</v>
      </c>
      <c r="D90" s="49"/>
      <c r="E90" s="49"/>
      <c r="F90" s="49"/>
      <c r="G90" s="49"/>
      <c r="H90" s="49"/>
      <c r="I90" s="49"/>
    </row>
    <row r="91" customFormat="false" ht="15" hidden="false" customHeight="false" outlineLevel="0" collapsed="false">
      <c r="C91" s="43" t="n">
        <v>44012</v>
      </c>
      <c r="D91" s="44" t="n">
        <v>47600</v>
      </c>
      <c r="E91" s="45" t="s">
        <v>367</v>
      </c>
      <c r="F91" s="45" t="s">
        <v>256</v>
      </c>
      <c r="G91" s="45" t="s">
        <v>60</v>
      </c>
      <c r="H91" s="46" t="s">
        <v>368</v>
      </c>
      <c r="I91" s="372"/>
    </row>
    <row r="92" customFormat="false" ht="15" hidden="false" customHeight="false" outlineLevel="0" collapsed="false">
      <c r="C92" s="373" t="n">
        <v>44004</v>
      </c>
      <c r="D92" s="105" t="n">
        <v>650000</v>
      </c>
      <c r="E92" s="374" t="s">
        <v>370</v>
      </c>
      <c r="F92" s="374" t="s">
        <v>371</v>
      </c>
      <c r="G92" s="374" t="s">
        <v>87</v>
      </c>
      <c r="H92" s="375" t="s">
        <v>372</v>
      </c>
      <c r="I92" s="216"/>
    </row>
    <row r="93" customFormat="false" ht="15" hidden="false" customHeight="false" outlineLevel="0" collapsed="false">
      <c r="C93" s="51" t="n">
        <v>44012</v>
      </c>
      <c r="D93" s="52" t="n">
        <v>178500</v>
      </c>
      <c r="E93" s="53" t="s">
        <v>271</v>
      </c>
      <c r="F93" s="53" t="s">
        <v>272</v>
      </c>
      <c r="G93" s="53" t="s">
        <v>60</v>
      </c>
      <c r="H93" s="54" t="s">
        <v>374</v>
      </c>
      <c r="I93" s="216"/>
    </row>
    <row r="94" customFormat="false" ht="15" hidden="false" customHeight="false" outlineLevel="0" collapsed="false">
      <c r="C94" s="338" t="n">
        <v>43998</v>
      </c>
      <c r="D94" s="52" t="n">
        <v>107100</v>
      </c>
      <c r="E94" s="53" t="s">
        <v>319</v>
      </c>
      <c r="F94" s="53" t="s">
        <v>59</v>
      </c>
      <c r="G94" s="53" t="s">
        <v>60</v>
      </c>
      <c r="H94" s="293" t="s">
        <v>376</v>
      </c>
      <c r="I94" s="216"/>
    </row>
    <row r="95" customFormat="false" ht="15" hidden="false" customHeight="false" outlineLevel="0" collapsed="false">
      <c r="C95" s="51" t="n">
        <v>43994</v>
      </c>
      <c r="D95" s="214" t="n">
        <v>244450</v>
      </c>
      <c r="E95" s="53" t="s">
        <v>140</v>
      </c>
      <c r="F95" s="53" t="s">
        <v>86</v>
      </c>
      <c r="G95" s="53" t="s">
        <v>87</v>
      </c>
      <c r="H95" s="215" t="s">
        <v>374</v>
      </c>
      <c r="I95" s="216" t="s">
        <v>141</v>
      </c>
    </row>
    <row r="96" customFormat="false" ht="15" hidden="false" customHeight="false" outlineLevel="0" collapsed="false">
      <c r="C96" s="164" t="n">
        <v>44018</v>
      </c>
      <c r="D96" s="265" t="n">
        <v>47600</v>
      </c>
      <c r="E96" s="166" t="s">
        <v>194</v>
      </c>
      <c r="F96" s="166" t="s">
        <v>195</v>
      </c>
      <c r="G96" s="166" t="s">
        <v>87</v>
      </c>
      <c r="H96" s="266" t="s">
        <v>374</v>
      </c>
      <c r="I96" s="267" t="s">
        <v>141</v>
      </c>
    </row>
  </sheetData>
  <mergeCells count="7">
    <mergeCell ref="C5:I5"/>
    <mergeCell ref="C7:I7"/>
    <mergeCell ref="C15:I15"/>
    <mergeCell ref="C29:I29"/>
    <mergeCell ref="C34:I34"/>
    <mergeCell ref="C77:I77"/>
    <mergeCell ref="C90:I9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1177</TotalTime>
  <Application>LibreOffice/6.3.6.2$Linux_X86_64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2019-02-06T14:54:09Z</dcterms:created>
  <dc:creator>solanch macarena tejos carrasco</dc:creator>
  <dc:description/>
  <dc:language>es-CL</dc:language>
  <cp:lastModifiedBy/>
  <cp:lastPrinted>2020-07-14T20:55:09Z</cp:lastPrinted>
  <dcterms:modified xsi:type="dcterms:W3CDTF">2020-08-18T18:56:00Z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